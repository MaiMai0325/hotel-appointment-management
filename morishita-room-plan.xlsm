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nexus001\営業\不動産管理\06森下\"/>
    </mc:Choice>
  </mc:AlternateContent>
  <xr:revisionPtr revIDLastSave="0" documentId="13_ncr:1_{E5A32A34-8202-429C-9F21-49D4B814EF7C}" xr6:coauthVersionLast="47" xr6:coauthVersionMax="47" xr10:uidLastSave="{00000000-0000-0000-0000-000000000000}"/>
  <bookViews>
    <workbookView xWindow="-23148" yWindow="-108" windowWidth="23256" windowHeight="12456" activeTab="1" xr2:uid="{00000000-000D-0000-FFFF-FFFF00000000}"/>
  </bookViews>
  <sheets>
    <sheet name="2025年" sheetId="1" r:id="rId1"/>
    <sheet name="2026年" sheetId="2" r:id="rId2"/>
  </sheets>
  <functionGroups builtInGroupCount="19"/>
  <definedNames>
    <definedName name="_xleta.COUNTIF" hidden="1" xlm="1">#NAME?</definedName>
    <definedName name="_xlnm.Print_Area" localSheetId="0">'2025年'!$A$1:$AJ$30</definedName>
    <definedName name="_xlnm.Print_Area" localSheetId="1">'2026年'!$A$1:$AJ$120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4" i="2" l="1"/>
  <c r="AJ8" i="2" l="1"/>
  <c r="AJ6" i="2"/>
  <c r="AJ5" i="2"/>
  <c r="AJ14" i="1"/>
  <c r="AJ28" i="1" l="1"/>
  <c r="AH39" i="2"/>
  <c r="AH18" i="2"/>
  <c r="AJ16" i="1" l="1"/>
  <c r="AH19" i="1"/>
  <c r="AJ119" i="2" l="1"/>
  <c r="AJ118" i="2"/>
  <c r="AJ117" i="2"/>
  <c r="AJ116" i="2"/>
  <c r="AJ115" i="2"/>
  <c r="AJ114" i="2"/>
  <c r="AJ109" i="2"/>
  <c r="AJ108" i="2"/>
  <c r="AJ107" i="2"/>
  <c r="AJ106" i="2"/>
  <c r="AJ105" i="2"/>
  <c r="AJ104" i="2"/>
  <c r="AJ99" i="2"/>
  <c r="AJ98" i="2"/>
  <c r="AJ97" i="2"/>
  <c r="AJ96" i="2"/>
  <c r="AJ95" i="2"/>
  <c r="AJ94" i="2"/>
  <c r="AJ89" i="2"/>
  <c r="AJ88" i="2"/>
  <c r="AJ87" i="2"/>
  <c r="AJ86" i="2"/>
  <c r="AJ85" i="2"/>
  <c r="AJ84" i="2"/>
  <c r="AJ79" i="2"/>
  <c r="AJ78" i="2"/>
  <c r="AJ77" i="2"/>
  <c r="AJ76" i="2"/>
  <c r="AJ75" i="2"/>
  <c r="AJ74" i="2"/>
  <c r="AJ69" i="2"/>
  <c r="AJ68" i="2"/>
  <c r="AJ67" i="2"/>
  <c r="AJ66" i="2"/>
  <c r="AJ65" i="2"/>
  <c r="AJ64" i="2"/>
  <c r="AJ59" i="2"/>
  <c r="AJ58" i="2"/>
  <c r="AJ57" i="2"/>
  <c r="AJ56" i="2"/>
  <c r="AJ55" i="2"/>
  <c r="AJ54" i="2"/>
  <c r="AJ49" i="2"/>
  <c r="AJ48" i="2"/>
  <c r="AJ47" i="2"/>
  <c r="AJ46" i="2"/>
  <c r="AJ45" i="2"/>
  <c r="AJ44" i="2"/>
  <c r="AJ39" i="2"/>
  <c r="AJ38" i="2"/>
  <c r="AJ37" i="2"/>
  <c r="AJ36" i="2"/>
  <c r="AJ35" i="2"/>
  <c r="AJ34" i="2"/>
  <c r="AJ29" i="2"/>
  <c r="AJ28" i="2"/>
  <c r="AJ27" i="2"/>
  <c r="AJ26" i="2"/>
  <c r="AJ25" i="2"/>
  <c r="AJ24" i="2"/>
  <c r="AJ19" i="2"/>
  <c r="AJ18" i="2"/>
  <c r="AJ17" i="2"/>
  <c r="AJ16" i="2"/>
  <c r="AJ15" i="2"/>
  <c r="AJ14" i="2"/>
  <c r="AJ9" i="2"/>
  <c r="AJ7" i="2"/>
  <c r="AJ29" i="1"/>
  <c r="AJ27" i="1"/>
  <c r="AJ26" i="1"/>
  <c r="AJ25" i="1"/>
  <c r="AJ24" i="1"/>
  <c r="AJ19" i="1"/>
  <c r="AJ18" i="1"/>
  <c r="AJ17" i="1"/>
  <c r="AJ15" i="1"/>
  <c r="AJ9" i="1"/>
  <c r="AJ8" i="1"/>
  <c r="AJ7" i="1"/>
  <c r="AJ6" i="1"/>
  <c r="AJ5" i="1"/>
  <c r="AJ4" i="1"/>
  <c r="AH15" i="2"/>
  <c r="AH5" i="2"/>
  <c r="AH85" i="2"/>
  <c r="AH55" i="2"/>
  <c r="AH35" i="2"/>
  <c r="AH75" i="2"/>
  <c r="AH116" i="2"/>
  <c r="AH25" i="2"/>
  <c r="AH115" i="2"/>
  <c r="AH25" i="1"/>
  <c r="AH18" i="1"/>
  <c r="AH15" i="1"/>
  <c r="AH65" i="2"/>
  <c r="AH105" i="2"/>
  <c r="AH95" i="2"/>
  <c r="AH45" i="2"/>
  <c r="AI105" i="2" l="1"/>
  <c r="AI35" i="2"/>
  <c r="AI85" i="2"/>
  <c r="AI15" i="2"/>
  <c r="AI55" i="2"/>
  <c r="AI115" i="2"/>
  <c r="AI116" i="2"/>
  <c r="AI95" i="2"/>
  <c r="AI75" i="2"/>
  <c r="AI65" i="2"/>
  <c r="AI45" i="2"/>
  <c r="AI25" i="2"/>
  <c r="AI5" i="2"/>
  <c r="AI25" i="1"/>
  <c r="AI15" i="1"/>
  <c r="AH5" i="1"/>
  <c r="AI5" i="1" l="1"/>
  <c r="AH4" i="1"/>
  <c r="AH7" i="1"/>
  <c r="AH67" i="2"/>
  <c r="AH84" i="2"/>
  <c r="AH24" i="2"/>
  <c r="AH4" i="2"/>
  <c r="AH66" i="2"/>
  <c r="AH14" i="2"/>
  <c r="AH17" i="1"/>
  <c r="AH58" i="2"/>
  <c r="AH106" i="2"/>
  <c r="AH78" i="2"/>
  <c r="AH97" i="2"/>
  <c r="AH86" i="2"/>
  <c r="AH87" i="2"/>
  <c r="AH64" i="2"/>
  <c r="AH28" i="2"/>
  <c r="AH7" i="2"/>
  <c r="AH79" i="2"/>
  <c r="AH104" i="2"/>
  <c r="AH16" i="2"/>
  <c r="AH118" i="2"/>
  <c r="AH26" i="1"/>
  <c r="AH44" i="2"/>
  <c r="AH109" i="2"/>
  <c r="AH24" i="1"/>
  <c r="AH68" i="2"/>
  <c r="AH8" i="2"/>
  <c r="AH14" i="1"/>
  <c r="AH69" i="2"/>
  <c r="AH28" i="1"/>
  <c r="AH34" i="2"/>
  <c r="AH29" i="2"/>
  <c r="AH6" i="1"/>
  <c r="AH19" i="2"/>
  <c r="AH56" i="2"/>
  <c r="AH26" i="2"/>
  <c r="AH27" i="1"/>
  <c r="AH54" i="2"/>
  <c r="AH46" i="2"/>
  <c r="AH107" i="2"/>
  <c r="AH59" i="2"/>
  <c r="AH89" i="2"/>
  <c r="AH9" i="1"/>
  <c r="AH117" i="2"/>
  <c r="AH38" i="2"/>
  <c r="AH98" i="2"/>
  <c r="AH108" i="2"/>
  <c r="AH74" i="2"/>
  <c r="AH29" i="1"/>
  <c r="AH119" i="2"/>
  <c r="AH76" i="2"/>
  <c r="AH47" i="2"/>
  <c r="AH57" i="2"/>
  <c r="AH77" i="2"/>
  <c r="AH48" i="2"/>
  <c r="AH9" i="2"/>
  <c r="AH49" i="2"/>
  <c r="AH27" i="2"/>
  <c r="AH37" i="2"/>
  <c r="AH36" i="2"/>
  <c r="AH88" i="2"/>
  <c r="AH16" i="1"/>
  <c r="AH6" i="2"/>
  <c r="AH8" i="1"/>
  <c r="AH114" i="2"/>
  <c r="AH17" i="2"/>
  <c r="AH94" i="2"/>
  <c r="AH99" i="2"/>
  <c r="AH96" i="2"/>
  <c r="AH30" i="1" l="1"/>
  <c r="AH70" i="2"/>
  <c r="AH90" i="2"/>
  <c r="AI16" i="2"/>
  <c r="AH110" i="2"/>
  <c r="AH40" i="2"/>
  <c r="AH10" i="1"/>
  <c r="AH30" i="2"/>
  <c r="AI38" i="2"/>
  <c r="AH100" i="2"/>
  <c r="AI39" i="2"/>
  <c r="AH80" i="2"/>
  <c r="AI18" i="2"/>
  <c r="AI37" i="2"/>
  <c r="AH50" i="2"/>
  <c r="AH20" i="1"/>
  <c r="AH20" i="2"/>
  <c r="AH120" i="2"/>
  <c r="AI17" i="2"/>
  <c r="AI19" i="2"/>
  <c r="AI36" i="2"/>
  <c r="AH60" i="2"/>
  <c r="AI4" i="2"/>
  <c r="AH10" i="2"/>
  <c r="AI19" i="1"/>
  <c r="AI8" i="1"/>
  <c r="AI9" i="1"/>
  <c r="AI6" i="2"/>
  <c r="AI28" i="2"/>
  <c r="AI54" i="2"/>
  <c r="AI77" i="2"/>
  <c r="AI99" i="2"/>
  <c r="AI18" i="1"/>
  <c r="AI7" i="2"/>
  <c r="AI29" i="2"/>
  <c r="AI56" i="2"/>
  <c r="AI78" i="2"/>
  <c r="AI104" i="2"/>
  <c r="AI76" i="2"/>
  <c r="AI8" i="2"/>
  <c r="AI34" i="2"/>
  <c r="AI57" i="2"/>
  <c r="AI79" i="2"/>
  <c r="AI106" i="2"/>
  <c r="AI27" i="2"/>
  <c r="AI9" i="2"/>
  <c r="AI58" i="2"/>
  <c r="AI84" i="2"/>
  <c r="AI107" i="2"/>
  <c r="AI98" i="2"/>
  <c r="AI16" i="1"/>
  <c r="AI17" i="1"/>
  <c r="AI14" i="2"/>
  <c r="AI59" i="2"/>
  <c r="AI86" i="2"/>
  <c r="AI108" i="2"/>
  <c r="AI64" i="2"/>
  <c r="AI87" i="2"/>
  <c r="AI109" i="2"/>
  <c r="AI24" i="1"/>
  <c r="AI66" i="2"/>
  <c r="AI88" i="2"/>
  <c r="AI114" i="2"/>
  <c r="AI14" i="1"/>
  <c r="AI49" i="2"/>
  <c r="AI26" i="1"/>
  <c r="AI44" i="2"/>
  <c r="AI67" i="2"/>
  <c r="AI89" i="2"/>
  <c r="AI4" i="1"/>
  <c r="AI27" i="1"/>
  <c r="AI46" i="2"/>
  <c r="AI68" i="2"/>
  <c r="AI94" i="2"/>
  <c r="AI117" i="2"/>
  <c r="AI6" i="1"/>
  <c r="AI28" i="1"/>
  <c r="AI24" i="2"/>
  <c r="AI47" i="2"/>
  <c r="AI69" i="2"/>
  <c r="AI96" i="2"/>
  <c r="AI118" i="2"/>
  <c r="AI7" i="1"/>
  <c r="AI29" i="1"/>
  <c r="AI26" i="2"/>
  <c r="AI48" i="2"/>
  <c r="AI74" i="2"/>
  <c r="AI97" i="2"/>
  <c r="AI119" i="2"/>
  <c r="AI90" i="2" l="1"/>
  <c r="AI80" i="2"/>
  <c r="AI120" i="2"/>
  <c r="AI10" i="1"/>
  <c r="AI20" i="2"/>
  <c r="AI20" i="1"/>
  <c r="AI30" i="2"/>
  <c r="AI110" i="2"/>
  <c r="AI60" i="2"/>
  <c r="AI50" i="2"/>
  <c r="AI10" i="2"/>
  <c r="AI30" i="1"/>
  <c r="AI100" i="2"/>
  <c r="AI70" i="2"/>
  <c r="AI4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 nexus</author>
    <author>譚鴻</author>
  </authors>
  <commentList>
    <comment ref="X6" authorId="0" shapeId="0" xr:uid="{00000000-0006-0000-0000-000001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li nexus:
</t>
        </r>
        <r>
          <rPr>
            <sz val="9"/>
            <color indexed="81"/>
            <rFont val="MS P ゴシック"/>
            <family val="3"/>
            <charset val="128"/>
          </rPr>
          <t>大</t>
        </r>
        <r>
          <rPr>
            <sz val="9"/>
            <color indexed="81"/>
            <rFont val="FangSong"/>
            <family val="3"/>
            <charset val="134"/>
          </rPr>
          <t xml:space="preserve">宫
</t>
        </r>
        <r>
          <rPr>
            <sz val="9"/>
            <color indexed="81"/>
            <rFont val="MS P ゴシック"/>
            <family val="3"/>
            <charset val="128"/>
          </rPr>
          <t>1w</t>
        </r>
      </text>
    </comment>
    <comment ref="Z14" authorId="1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免清掃</t>
        </r>
      </text>
    </comment>
    <comment ref="AJ14" authorId="1" shapeId="0" xr:uid="{00000000-0006-0000-0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11/24 免清</t>
        </r>
        <r>
          <rPr>
            <b/>
            <sz val="9"/>
            <color indexed="81"/>
            <rFont val="FangSong"/>
            <family val="3"/>
            <charset val="134"/>
          </rPr>
          <t>扫</t>
        </r>
      </text>
    </comment>
    <comment ref="Y16" authorId="1" shapeId="0" xr:uid="{00000000-0006-0000-0000-000004000000}">
      <text>
        <r>
          <rPr>
            <b/>
            <sz val="9"/>
            <color indexed="81"/>
            <rFont val="游ゴシック"/>
            <family val="3"/>
            <charset val="134"/>
          </rPr>
          <t>简</t>
        </r>
        <r>
          <rPr>
            <b/>
            <sz val="9"/>
            <color indexed="81"/>
            <rFont val="ＭＳ Ｐゴシック"/>
            <family val="3"/>
            <charset val="128"/>
          </rPr>
          <t>易清</t>
        </r>
        <r>
          <rPr>
            <b/>
            <sz val="9"/>
            <color indexed="81"/>
            <rFont val="游ゴシック"/>
            <family val="3"/>
            <charset val="134"/>
          </rPr>
          <t>扫
3000日元</t>
        </r>
      </text>
    </comment>
    <comment ref="AJ16" authorId="1" shapeId="0" xr:uid="{00000000-0006-0000-0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・清掃3回
・簡易清掃3000円</t>
        </r>
      </text>
    </comment>
    <comment ref="E18" authorId="1" shapeId="0" xr:uid="{00000000-0006-0000-00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11/6清</t>
        </r>
        <r>
          <rPr>
            <b/>
            <sz val="9"/>
            <color indexed="81"/>
            <rFont val="FangSong"/>
            <family val="3"/>
            <charset val="134"/>
          </rPr>
          <t xml:space="preserve">扫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譚鴻</author>
    <author>名古屋美恵</author>
    <author>譚鴻・ネクサステクノロジー</author>
    <author>Gg Pp</author>
  </authors>
  <commentList>
    <comment ref="J14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101的</t>
        </r>
        <r>
          <rPr>
            <b/>
            <sz val="9"/>
            <color indexed="81"/>
            <rFont val="FangSong"/>
            <family val="3"/>
            <charset val="134"/>
          </rPr>
          <t>备</t>
        </r>
        <r>
          <rPr>
            <b/>
            <sz val="9"/>
            <color indexed="81"/>
            <rFont val="ＭＳ Ｐゴシック"/>
            <family val="3"/>
            <charset val="128"/>
          </rPr>
          <t>用被子放在102</t>
        </r>
        <r>
          <rPr>
            <b/>
            <sz val="9"/>
            <color indexed="81"/>
            <rFont val="FangSong"/>
            <family val="3"/>
            <charset val="134"/>
          </rPr>
          <t>给蒙古客人用了</t>
        </r>
      </text>
    </comment>
    <comment ref="X14" authorId="0" shapeId="0" xr:uid="{00000000-0006-0000-01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2/16-19 201的客人延</t>
        </r>
        <r>
          <rPr>
            <b/>
            <sz val="9"/>
            <color indexed="81"/>
            <rFont val="FangSong"/>
            <family val="3"/>
            <charset val="134"/>
          </rPr>
          <t>长了，换到了</t>
        </r>
        <r>
          <rPr>
            <b/>
            <sz val="9"/>
            <color indexed="81"/>
            <rFont val="ＭＳ Ｐゴシック"/>
            <family val="3"/>
            <charset val="128"/>
          </rPr>
          <t>101</t>
        </r>
      </text>
    </comment>
    <comment ref="K15" authorId="0" shapeId="0" xr:uid="{00000000-0006-0000-0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sugaraa byambaa</t>
        </r>
      </text>
    </comment>
    <comment ref="W17" authorId="0" shapeId="0" xr:uid="{00000000-0006-0000-0100-000004000000}">
      <text>
        <r>
          <rPr>
            <b/>
            <sz val="9"/>
            <color indexed="81"/>
            <rFont val="FangSong"/>
            <family val="3"/>
            <charset val="134"/>
          </rPr>
          <t>2/20入出的客人是从
单</t>
        </r>
        <r>
          <rPr>
            <b/>
            <sz val="9"/>
            <color indexed="81"/>
            <rFont val="ＭＳ Ｐゴシック"/>
            <family val="3"/>
            <charset val="128"/>
          </rPr>
          <t>人床房</t>
        </r>
        <r>
          <rPr>
            <b/>
            <sz val="9"/>
            <color indexed="81"/>
            <rFont val="FangSong"/>
            <family val="3"/>
            <charset val="134"/>
          </rPr>
          <t>调过</t>
        </r>
        <r>
          <rPr>
            <b/>
            <sz val="9"/>
            <color indexed="81"/>
            <rFont val="ＭＳ Ｐゴシック"/>
            <family val="3"/>
            <charset val="128"/>
          </rPr>
          <t>来的，需要两套被褥</t>
        </r>
      </text>
    </comment>
    <comment ref="H24" authorId="0" shapeId="0" xr:uid="{00000000-0006-0000-0100-000005000000}">
      <text>
        <r>
          <rPr>
            <sz val="9"/>
            <color indexed="81"/>
            <rFont val="ＭＳ Ｐゴシック"/>
            <family val="3"/>
            <charset val="128"/>
          </rPr>
          <t>3/5 需要从</t>
        </r>
        <r>
          <rPr>
            <sz val="9"/>
            <color indexed="81"/>
            <rFont val="FangSong"/>
            <family val="3"/>
            <charset val="134"/>
          </rPr>
          <t>别</t>
        </r>
        <r>
          <rPr>
            <sz val="9"/>
            <color indexed="81"/>
            <rFont val="ＭＳ Ｐゴシック"/>
            <family val="3"/>
            <charset val="128"/>
          </rPr>
          <t>的房</t>
        </r>
        <r>
          <rPr>
            <sz val="9"/>
            <color indexed="81"/>
            <rFont val="FangSong"/>
            <family val="3"/>
            <charset val="134"/>
          </rPr>
          <t>间</t>
        </r>
        <r>
          <rPr>
            <sz val="9"/>
            <color indexed="81"/>
            <rFont val="ＭＳ Ｐゴシック"/>
            <family val="3"/>
            <charset val="128"/>
          </rPr>
          <t>拿
一套套好的被子</t>
        </r>
        <r>
          <rPr>
            <sz val="9"/>
            <color indexed="81"/>
            <rFont val="FangSong"/>
            <family val="3"/>
            <charset val="134"/>
          </rPr>
          <t>过</t>
        </r>
        <r>
          <rPr>
            <sz val="9"/>
            <color indexed="81"/>
            <rFont val="ＭＳ Ｐゴシック"/>
            <family val="3"/>
            <charset val="128"/>
          </rPr>
          <t>来</t>
        </r>
      </text>
    </comment>
    <comment ref="AG25" authorId="0" shapeId="0" xr:uid="{00000000-0006-0000-01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Pfau Tyler</t>
        </r>
      </text>
    </comment>
    <comment ref="H27" authorId="1" shapeId="0" xr:uid="{00000000-0006-0000-0100-000007000000}">
      <text>
        <r>
          <rPr>
            <sz val="9"/>
            <color indexed="81"/>
            <rFont val="MS P ゴシック"/>
            <family val="3"/>
            <charset val="128"/>
          </rPr>
          <t>2位 自</t>
        </r>
        <r>
          <rPr>
            <sz val="9"/>
            <color indexed="81"/>
            <rFont val="FangSong"/>
            <family val="3"/>
            <charset val="134"/>
          </rPr>
          <t>动预约</t>
        </r>
        <r>
          <rPr>
            <sz val="9"/>
            <color indexed="81"/>
            <rFont val="MS P ゴシック"/>
            <family val="3"/>
            <charset val="128"/>
          </rPr>
          <t xml:space="preserve"> </t>
        </r>
      </text>
    </comment>
    <comment ref="V27" authorId="1" shapeId="0" xr:uid="{00000000-0006-0000-0100-000008000000}">
      <text>
        <r>
          <rPr>
            <b/>
            <sz val="9"/>
            <color indexed="81"/>
            <rFont val="MS P ゴシック"/>
            <family val="3"/>
            <charset val="128"/>
          </rPr>
          <t>大人3 3Beds</t>
        </r>
      </text>
    </comment>
    <comment ref="W27" authorId="0" shapeId="0" xr:uid="{00000000-0006-0000-0100-000009000000}">
      <text>
        <r>
          <rPr>
            <b/>
            <sz val="9"/>
            <color indexed="81"/>
            <rFont val="ＭＳ Ｐゴシック"/>
            <family val="3"/>
            <charset val="128"/>
          </rPr>
          <t>Eduardo Augusto Dias Fonseca</t>
        </r>
      </text>
    </comment>
    <comment ref="AC27" authorId="0" shapeId="0" xr:uid="{00000000-0006-0000-0100-00000A000000}">
      <text>
        <r>
          <rPr>
            <b/>
            <sz val="9"/>
            <color indexed="81"/>
            <rFont val="ＭＳ Ｐゴシック"/>
            <family val="3"/>
            <charset val="128"/>
          </rPr>
          <t>上午把第四套枕套，毛巾收回来
入住：Katarina Radman</t>
        </r>
      </text>
    </comment>
    <comment ref="AA28" authorId="0" shapeId="0" xr:uid="{00000000-0006-0000-0100-00000B000000}">
      <text>
        <r>
          <rPr>
            <b/>
            <sz val="9"/>
            <color indexed="81"/>
            <rFont val="ＭＳ Ｐゴシック"/>
            <family val="3"/>
            <charset val="128"/>
          </rPr>
          <t>Carpenter Jack</t>
        </r>
      </text>
    </comment>
    <comment ref="F34" authorId="0" shapeId="0" xr:uid="{00000000-0006-0000-0100-00000C000000}">
      <text>
        <r>
          <rPr>
            <b/>
            <sz val="9"/>
            <color indexed="81"/>
            <rFont val="ＭＳ Ｐゴシック"/>
            <family val="3"/>
            <charset val="128"/>
          </rPr>
          <t>You</t>
        </r>
      </text>
    </comment>
    <comment ref="K34" authorId="0" shapeId="0" xr:uid="{00000000-0006-0000-0100-00000D000000}">
      <text>
        <r>
          <rPr>
            <b/>
            <sz val="9"/>
            <color indexed="81"/>
            <rFont val="ＭＳ Ｐゴシック"/>
            <family val="3"/>
            <charset val="128"/>
          </rPr>
          <t>Maria Postnikova</t>
        </r>
      </text>
    </comment>
    <comment ref="P34" authorId="2" shapeId="0" xr:uid="{00000000-0006-0000-0100-00000E000000}">
      <text>
        <r>
          <rPr>
            <b/>
            <sz val="9"/>
            <color indexed="81"/>
            <rFont val="MS P ゴシック"/>
            <family val="3"/>
            <charset val="128"/>
          </rPr>
          <t>Barbora Hynková</t>
        </r>
      </text>
    </comment>
    <comment ref="S34" authorId="0" shapeId="0" xr:uid="{00000000-0006-0000-0100-00000F000000}">
      <text>
        <r>
          <rPr>
            <b/>
            <sz val="9"/>
            <color indexed="81"/>
            <rFont val="ＭＳ Ｐゴシック"/>
            <family val="3"/>
            <charset val="128"/>
          </rPr>
          <t>Yoshihiro</t>
        </r>
      </text>
    </comment>
    <comment ref="V34" authorId="2" shapeId="0" xr:uid="{00000000-0006-0000-0100-000010000000}">
      <text>
        <r>
          <rPr>
            <b/>
            <sz val="9"/>
            <color indexed="81"/>
            <rFont val="MS P ゴシック"/>
            <family val="3"/>
            <charset val="128"/>
          </rPr>
          <t>Venkateswara Reddy</t>
        </r>
      </text>
    </comment>
    <comment ref="G35" authorId="0" shapeId="0" xr:uid="{00000000-0006-0000-0100-000011000000}">
      <text>
        <r>
          <rPr>
            <b/>
            <sz val="9"/>
            <color indexed="81"/>
            <rFont val="ＭＳ Ｐゴシック"/>
            <family val="3"/>
            <charset val="128"/>
          </rPr>
          <t>PO YUAN HSU
7:00～8:00の間下</t>
        </r>
        <r>
          <rPr>
            <b/>
            <sz val="9"/>
            <color indexed="81"/>
            <rFont val="FangSong"/>
            <family val="3"/>
            <charset val="134"/>
          </rPr>
          <t>飞</t>
        </r>
        <r>
          <rPr>
            <b/>
            <sz val="9"/>
            <color indexed="81"/>
            <rFont val="ＭＳ Ｐゴシック"/>
            <family val="3"/>
            <charset val="128"/>
          </rPr>
          <t xml:space="preserve">机
可能要放行李
</t>
        </r>
      </text>
    </comment>
    <comment ref="P35" authorId="2" shapeId="0" xr:uid="{00000000-0006-0000-01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Chang Hee Kim
</t>
        </r>
        <r>
          <rPr>
            <b/>
            <sz val="9"/>
            <color indexed="81"/>
            <rFont val="FangSong"/>
            <family val="3"/>
            <charset val="134"/>
          </rPr>
          <t>韩国人</t>
        </r>
        <r>
          <rPr>
            <b/>
            <sz val="9"/>
            <color indexed="81"/>
            <rFont val="MS P ゴシック"/>
            <family val="3"/>
            <charset val="128"/>
          </rPr>
          <t xml:space="preserve"> 14-15</t>
        </r>
        <r>
          <rPr>
            <b/>
            <sz val="9"/>
            <color indexed="81"/>
            <rFont val="MingLiU"/>
            <family val="3"/>
            <charset val="136"/>
          </rPr>
          <t>点IN</t>
        </r>
      </text>
    </comment>
    <comment ref="T35" authorId="0" shapeId="0" xr:uid="{00000000-0006-0000-0100-000013000000}">
      <text>
        <r>
          <rPr>
            <b/>
            <sz val="9"/>
            <color indexed="81"/>
            <rFont val="ＭＳ Ｐゴシック"/>
            <family val="3"/>
            <charset val="128"/>
          </rPr>
          <t>4/18 Taichi Miyanishi 1晚 大3</t>
        </r>
      </text>
    </comment>
    <comment ref="AF35" authorId="0" shapeId="0" xr:uid="{00000000-0006-0000-0100-000014000000}">
      <text>
        <r>
          <rPr>
            <b/>
            <sz val="9"/>
            <color indexed="81"/>
            <rFont val="ＭＳ Ｐゴシック"/>
            <family val="3"/>
            <charset val="128"/>
          </rPr>
          <t>Alex Chien</t>
        </r>
      </text>
    </comment>
    <comment ref="C36" authorId="0" shapeId="0" xr:uid="{00000000-0006-0000-0100-000015000000}">
      <text>
        <r>
          <rPr>
            <b/>
            <sz val="9"/>
            <color indexed="81"/>
            <rFont val="ＭＳ Ｐゴシック"/>
            <family val="3"/>
            <charset val="128"/>
          </rPr>
          <t>Ezra Smillie</t>
        </r>
      </text>
    </comment>
    <comment ref="X36" authorId="1" shapeId="0" xr:uid="{6372DCDB-7F51-49F4-A378-D48361779B64}">
      <text>
        <r>
          <rPr>
            <b/>
            <sz val="9"/>
            <color indexed="81"/>
            <rFont val="MS P ゴシック"/>
            <family val="3"/>
            <charset val="128"/>
          </rPr>
          <t>Kean Choong Liew</t>
        </r>
      </text>
    </comment>
    <comment ref="AB36" authorId="0" shapeId="0" xr:uid="{00000000-0006-0000-0100-000016000000}">
      <text>
        <r>
          <rPr>
            <b/>
            <sz val="9"/>
            <color indexed="81"/>
            <rFont val="ＭＳ Ｐゴシック"/>
            <family val="3"/>
            <charset val="128"/>
          </rPr>
          <t>Jack Snelgrove</t>
        </r>
      </text>
    </comment>
    <comment ref="F37" authorId="0" shapeId="0" xr:uid="{00000000-0006-0000-0100-000017000000}">
      <text>
        <r>
          <rPr>
            <b/>
            <sz val="9"/>
            <color indexed="81"/>
            <rFont val="Malgun Gothic Semilight"/>
            <family val="3"/>
            <charset val="129"/>
          </rPr>
          <t>윤정</t>
        </r>
        <r>
          <rPr>
            <b/>
            <sz val="9"/>
            <color indexed="81"/>
            <rFont val="ＭＳ Ｐゴシック"/>
            <family val="3"/>
            <charset val="128"/>
          </rPr>
          <t xml:space="preserve">  大人2 多</t>
        </r>
        <r>
          <rPr>
            <b/>
            <sz val="9"/>
            <color indexed="81"/>
            <rFont val="FangSong"/>
            <family val="3"/>
            <charset val="134"/>
          </rPr>
          <t>给</t>
        </r>
        <r>
          <rPr>
            <b/>
            <sz val="9"/>
            <color indexed="81"/>
            <rFont val="ＭＳ Ｐゴシック"/>
            <family val="3"/>
            <charset val="128"/>
          </rPr>
          <t xml:space="preserve">两条毛巾 13点入住 </t>
        </r>
        <r>
          <rPr>
            <b/>
            <sz val="9"/>
            <color indexed="10"/>
            <rFont val="FangSong"/>
            <family val="3"/>
            <charset val="134"/>
          </rPr>
          <t>爱</t>
        </r>
      </text>
    </comment>
    <comment ref="I37" authorId="2" shapeId="0" xr:uid="{00000000-0006-0000-0100-000018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JIGUANG LIU
</t>
        </r>
      </text>
    </comment>
    <comment ref="P37" authorId="2" shapeId="0" xr:uid="{00000000-0006-0000-0100-000019000000}">
      <text>
        <r>
          <rPr>
            <b/>
            <sz val="9"/>
            <color indexed="81"/>
            <rFont val="MS P ゴシック"/>
            <family val="3"/>
            <charset val="128"/>
          </rPr>
          <t>Aurelien Malgorn</t>
        </r>
      </text>
    </comment>
    <comment ref="AD37" authorId="0" shapeId="0" xr:uid="{00000000-0006-0000-0100-00001A000000}">
      <text>
        <r>
          <rPr>
            <b/>
            <sz val="9"/>
            <color indexed="81"/>
            <rFont val="ＭＳ Ｐゴシック"/>
            <family val="3"/>
            <charset val="128"/>
          </rPr>
          <t>入住
4/27-》4/28</t>
        </r>
      </text>
    </comment>
    <comment ref="M38" authorId="0" shapeId="0" xr:uid="{00000000-0006-0000-0100-00001B000000}">
      <text>
        <r>
          <rPr>
            <b/>
            <sz val="9"/>
            <color indexed="81"/>
            <rFont val="ＭＳ Ｐゴシック"/>
            <family val="3"/>
            <charset val="128"/>
          </rPr>
          <t>4/11 尚子 吉坂 3</t>
        </r>
        <r>
          <rPr>
            <b/>
            <sz val="9"/>
            <color indexed="81"/>
            <rFont val="FangSong"/>
            <family val="3"/>
            <charset val="134"/>
          </rPr>
          <t>人</t>
        </r>
        <r>
          <rPr>
            <b/>
            <sz val="9"/>
            <color indexed="81"/>
            <rFont val="ＭＳ Ｐゴシック"/>
            <family val="3"/>
            <charset val="128"/>
          </rPr>
          <t xml:space="preserve">
希望</t>
        </r>
        <r>
          <rPr>
            <b/>
            <sz val="9"/>
            <color indexed="10"/>
            <rFont val="游ゴシック Light"/>
            <family val="3"/>
            <charset val="128"/>
          </rPr>
          <t>12点入住或者放行李</t>
        </r>
      </text>
    </comment>
    <comment ref="T38" authorId="0" shapeId="0" xr:uid="{00000000-0006-0000-0100-00001C000000}">
      <text>
        <r>
          <rPr>
            <b/>
            <sz val="9"/>
            <color indexed="81"/>
            <rFont val="ＭＳ Ｐゴシック"/>
            <family val="3"/>
            <charset val="128"/>
          </rPr>
          <t>4/18 Ayumi Araki
1晚 大3</t>
        </r>
      </text>
    </comment>
    <comment ref="Y38" authorId="0" shapeId="0" xr:uid="{00000000-0006-0000-0100-00001D000000}">
      <text>
        <r>
          <rPr>
            <b/>
            <sz val="9"/>
            <color indexed="81"/>
            <rFont val="ＭＳ Ｐゴシック"/>
            <family val="3"/>
            <charset val="128"/>
          </rPr>
          <t>Alexander Clemente</t>
        </r>
      </text>
    </comment>
    <comment ref="AF38" authorId="2" shapeId="0" xr:uid="{00000000-0006-0000-0100-00001E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Geneviève FLOSTROY
</t>
        </r>
        <r>
          <rPr>
            <b/>
            <sz val="9"/>
            <color indexed="10"/>
            <rFont val="游ゴシック Light"/>
            <family val="3"/>
            <charset val="128"/>
          </rPr>
          <t>14-15点 IN</t>
        </r>
      </text>
    </comment>
    <comment ref="K39" authorId="0" shapeId="0" xr:uid="{00000000-0006-0000-0100-00001F000000}">
      <text>
        <r>
          <rPr>
            <b/>
            <sz val="9"/>
            <color indexed="81"/>
            <rFont val="ＭＳ Ｐゴシック"/>
            <family val="3"/>
            <charset val="128"/>
          </rPr>
          <t>Fiona Desiree McHardy Perez</t>
        </r>
      </text>
    </comment>
    <comment ref="N39" authorId="0" shapeId="0" xr:uid="{00000000-0006-0000-0100-000020000000}">
      <text>
        <r>
          <rPr>
            <b/>
            <sz val="9"/>
            <color indexed="81"/>
            <rFont val="ＭＳ Ｐゴシック"/>
            <family val="3"/>
            <charset val="128"/>
          </rPr>
          <t>Gerdhem Moa
4/15 追加一人，</t>
        </r>
        <r>
          <rPr>
            <b/>
            <sz val="9"/>
            <color indexed="81"/>
            <rFont val="FangSong"/>
            <family val="3"/>
            <charset val="134"/>
          </rPr>
          <t>现</t>
        </r>
        <r>
          <rPr>
            <b/>
            <sz val="9"/>
            <color indexed="81"/>
            <rFont val="ＭＳ Ｐゴシック"/>
            <family val="3"/>
            <charset val="128"/>
          </rPr>
          <t>金收</t>
        </r>
        <r>
          <rPr>
            <b/>
            <sz val="9"/>
            <color indexed="81"/>
            <rFont val="FangSong"/>
            <family val="3"/>
            <charset val="134"/>
          </rPr>
          <t>费</t>
        </r>
        <r>
          <rPr>
            <b/>
            <sz val="9"/>
            <color indexed="81"/>
            <rFont val="ＭＳ Ｐゴシック"/>
            <family val="3"/>
            <charset val="128"/>
          </rPr>
          <t xml:space="preserve">3000日元
</t>
        </r>
        <r>
          <rPr>
            <b/>
            <sz val="9"/>
            <color indexed="10"/>
            <rFont val="游ゴシック Light"/>
            <family val="3"/>
            <charset val="128"/>
          </rPr>
          <t xml:space="preserve">4/14 14点前 </t>
        </r>
        <r>
          <rPr>
            <b/>
            <sz val="9"/>
            <color indexed="81"/>
            <rFont val="ＭＳ Ｐゴシック"/>
            <family val="3"/>
            <charset val="128"/>
          </rPr>
          <t>加一</t>
        </r>
        <r>
          <rPr>
            <b/>
            <sz val="9"/>
            <color indexed="81"/>
            <rFont val="FangSong"/>
            <family val="3"/>
            <charset val="134"/>
          </rPr>
          <t>张</t>
        </r>
        <r>
          <rPr>
            <b/>
            <sz val="9"/>
            <color indexed="81"/>
            <rFont val="ＭＳ Ｐゴシック"/>
            <family val="3"/>
            <charset val="128"/>
          </rPr>
          <t>沙</t>
        </r>
        <r>
          <rPr>
            <b/>
            <sz val="9"/>
            <color indexed="81"/>
            <rFont val="FangSong"/>
            <family val="3"/>
            <charset val="134"/>
          </rPr>
          <t>发</t>
        </r>
        <r>
          <rPr>
            <b/>
            <sz val="9"/>
            <color indexed="81"/>
            <rFont val="ＭＳ Ｐゴシック"/>
            <family val="3"/>
            <charset val="128"/>
          </rPr>
          <t>床</t>
        </r>
        <r>
          <rPr>
            <b/>
            <sz val="9"/>
            <color indexed="81"/>
            <rFont val="游ゴシック Light"/>
            <family val="3"/>
            <charset val="128"/>
          </rPr>
          <t>(102+202)</t>
        </r>
        <r>
          <rPr>
            <b/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V39" authorId="2" shapeId="0" xr:uid="{00000000-0006-0000-0100-000021000000}">
      <text>
        <r>
          <rPr>
            <b/>
            <sz val="9"/>
            <color indexed="81"/>
            <rFont val="MS P ゴシック"/>
            <family val="3"/>
            <charset val="128"/>
          </rPr>
          <t>David</t>
        </r>
      </text>
    </comment>
    <comment ref="C44" authorId="0" shapeId="0" xr:uid="{00000000-0006-0000-0100-000022000000}">
      <text>
        <r>
          <rPr>
            <b/>
            <sz val="9"/>
            <color indexed="81"/>
            <rFont val="ＭＳ Ｐゴシック"/>
            <family val="3"/>
            <charset val="128"/>
          </rPr>
          <t>Keita</t>
        </r>
      </text>
    </comment>
    <comment ref="K44" authorId="2" shapeId="0" xr:uid="{00000000-0006-0000-0100-000023000000}">
      <text>
        <r>
          <rPr>
            <b/>
            <sz val="9"/>
            <color indexed="81"/>
            <rFont val="MS P ゴシック"/>
            <family val="3"/>
            <charset val="128"/>
          </rPr>
          <t>Yukiya Hori
大客</t>
        </r>
        <r>
          <rPr>
            <b/>
            <sz val="9"/>
            <color indexed="81"/>
            <rFont val="FangSong"/>
            <family val="3"/>
            <charset val="134"/>
          </rPr>
          <t>户！</t>
        </r>
      </text>
    </comment>
    <comment ref="P45" authorId="1" shapeId="0" xr:uid="{279A171E-CDB8-414D-B5B9-C5BC2C772FE2}">
      <text>
        <r>
          <rPr>
            <b/>
            <sz val="9"/>
            <color indexed="81"/>
            <rFont val="MS P ゴシック"/>
            <family val="3"/>
            <charset val="128"/>
          </rPr>
          <t>Masae Iwagishi
大人3  要求1楼</t>
        </r>
      </text>
    </comment>
    <comment ref="R45" authorId="0" shapeId="0" xr:uid="{00000000-0006-0000-0100-000024000000}">
      <text>
        <r>
          <rPr>
            <b/>
            <sz val="9"/>
            <color indexed="81"/>
            <rFont val="ＭＳ Ｐゴシック"/>
            <family val="3"/>
            <charset val="128"/>
          </rPr>
          <t>尹</t>
        </r>
        <r>
          <rPr>
            <b/>
            <sz val="9"/>
            <color indexed="81"/>
            <rFont val="FangSong"/>
            <family val="3"/>
            <charset val="134"/>
          </rPr>
          <t>轩</t>
        </r>
      </text>
    </comment>
    <comment ref="W45" authorId="0" shapeId="0" xr:uid="{00000000-0006-0000-0100-000025000000}">
      <text>
        <r>
          <rPr>
            <b/>
            <sz val="9"/>
            <color indexed="81"/>
            <rFont val="ＭＳ Ｐゴシック"/>
            <family val="3"/>
            <charset val="128"/>
          </rPr>
          <t>ChingYi Shang</t>
        </r>
      </text>
    </comment>
    <comment ref="AE45" authorId="2" shapeId="0" xr:uid="{00000000-0006-0000-0100-000026000000}">
      <text>
        <r>
          <rPr>
            <b/>
            <sz val="9"/>
            <color indexed="81"/>
            <rFont val="MS P ゴシック"/>
            <family val="3"/>
            <charset val="128"/>
          </rPr>
          <t>YURIKO IIJIMA</t>
        </r>
      </text>
    </comment>
    <comment ref="I46" authorId="0" shapeId="0" xr:uid="{00000000-0006-0000-0100-000027000000}">
      <text>
        <r>
          <rPr>
            <b/>
            <sz val="9"/>
            <color indexed="81"/>
            <rFont val="ＭＳ Ｐゴシック"/>
            <family val="3"/>
            <charset val="128"/>
          </rPr>
          <t>Jack Snelgrove
跟4/26-5/4同一</t>
        </r>
        <r>
          <rPr>
            <b/>
            <sz val="9"/>
            <color indexed="81"/>
            <rFont val="FangSong"/>
            <family val="3"/>
            <charset val="134"/>
          </rPr>
          <t>组</t>
        </r>
        <r>
          <rPr>
            <b/>
            <sz val="9"/>
            <color indexed="81"/>
            <rFont val="ＭＳ Ｐゴシック"/>
            <family val="3"/>
            <charset val="128"/>
          </rPr>
          <t>客人</t>
        </r>
      </text>
    </comment>
    <comment ref="Q46" authorId="0" shapeId="0" xr:uid="{00000000-0006-0000-0100-000028000000}">
      <text>
        <r>
          <rPr>
            <b/>
            <sz val="9"/>
            <color indexed="81"/>
            <rFont val="ＭＳ Ｐゴシック"/>
            <family val="3"/>
            <charset val="128"/>
          </rPr>
          <t>Damien Rhumorbarbe</t>
        </r>
      </text>
    </comment>
    <comment ref="T46" authorId="0" shapeId="0" xr:uid="{F66BA9C8-73F4-426F-98A6-E90D6F99135D}">
      <text>
        <r>
          <rPr>
            <b/>
            <sz val="9"/>
            <color indexed="81"/>
            <rFont val="ＭＳ Ｐゴシック"/>
            <family val="3"/>
            <charset val="128"/>
          </rPr>
          <t>Iuliia Cheromukhina
1晚 大2</t>
        </r>
      </text>
    </comment>
    <comment ref="U46" authorId="2" shapeId="0" xr:uid="{00000000-0006-0000-0100-000029000000}">
      <text>
        <r>
          <rPr>
            <b/>
            <sz val="9"/>
            <color indexed="81"/>
            <rFont val="MS P ゴシック"/>
            <family val="3"/>
            <charset val="128"/>
          </rPr>
          <t>preet patel</t>
        </r>
      </text>
    </comment>
    <comment ref="AD46" authorId="0" shapeId="0" xr:uid="{00000000-0006-0000-0100-00002A000000}">
      <text>
        <r>
          <rPr>
            <b/>
            <sz val="9"/>
            <color indexed="81"/>
            <rFont val="ＭＳ Ｐゴシック"/>
            <family val="3"/>
            <charset val="128"/>
          </rPr>
          <t>Amerose</t>
        </r>
      </text>
    </comment>
    <comment ref="M47" authorId="1" shapeId="0" xr:uid="{00000000-0006-0000-0100-00002B000000}">
      <text>
        <r>
          <rPr>
            <sz val="9"/>
            <color indexed="81"/>
            <rFont val="MS P ゴシック"/>
            <family val="3"/>
            <charset val="128"/>
          </rPr>
          <t>Jung-Ti Chao</t>
        </r>
      </text>
    </comment>
    <comment ref="T47" authorId="0" shapeId="0" xr:uid="{00000000-0006-0000-0100-00002C000000}">
      <text>
        <r>
          <rPr>
            <b/>
            <sz val="9"/>
            <color indexed="81"/>
            <rFont val="ＭＳ Ｐゴシック"/>
            <family val="3"/>
            <charset val="128"/>
          </rPr>
          <t>XIULI GONG</t>
        </r>
      </text>
    </comment>
    <comment ref="AD47" authorId="2" shapeId="0" xr:uid="{00000000-0006-0000-0100-00002D000000}">
      <text>
        <r>
          <rPr>
            <b/>
            <sz val="9"/>
            <color indexed="81"/>
            <rFont val="MS P ゴシック"/>
            <family val="3"/>
            <charset val="128"/>
          </rPr>
          <t>Rosario Doldolea</t>
        </r>
      </text>
    </comment>
    <comment ref="R48" authorId="2" shapeId="0" xr:uid="{00000000-0006-0000-0100-00002E000000}">
      <text>
        <r>
          <rPr>
            <b/>
            <sz val="9"/>
            <color indexed="81"/>
            <rFont val="MS P ゴシック"/>
            <family val="3"/>
            <charset val="128"/>
          </rPr>
          <t>Thea Viktoria Ogalesco
提前一天通知是否可以早checkin</t>
        </r>
      </text>
    </comment>
    <comment ref="V48" authorId="0" shapeId="0" xr:uid="{00000000-0006-0000-0100-00002F000000}">
      <text>
        <r>
          <rPr>
            <b/>
            <sz val="9"/>
            <color indexed="81"/>
            <rFont val="ＭＳ Ｐゴシック"/>
            <family val="3"/>
            <charset val="128"/>
          </rPr>
          <t>Pablo Gámez</t>
        </r>
      </text>
    </comment>
    <comment ref="AB48" authorId="0" shapeId="0" xr:uid="{00000000-0006-0000-0100-000030000000}">
      <text>
        <r>
          <rPr>
            <b/>
            <sz val="9"/>
            <color indexed="81"/>
            <rFont val="ＭＳ Ｐゴシック"/>
            <family val="3"/>
            <charset val="128"/>
          </rPr>
          <t>Nicolas Truong</t>
        </r>
      </text>
    </comment>
    <comment ref="AE48" authorId="0" shapeId="0" xr:uid="{00000000-0006-0000-0100-000031000000}">
      <text>
        <r>
          <rPr>
            <b/>
            <sz val="9"/>
            <color indexed="81"/>
            <rFont val="ＭＳ Ｐゴシック"/>
            <family val="3"/>
            <charset val="128"/>
          </rPr>
          <t>Fung Ching Lam</t>
        </r>
      </text>
    </comment>
    <comment ref="C49" authorId="1" shapeId="0" xr:uid="{00000000-0006-0000-0100-000032000000}">
      <text>
        <r>
          <rPr>
            <b/>
            <sz val="9"/>
            <color indexed="81"/>
            <rFont val="MS P ゴシック"/>
            <family val="3"/>
            <charset val="128"/>
          </rPr>
          <t>Dung Lê Thị Ph</t>
        </r>
        <r>
          <rPr>
            <b/>
            <sz val="9"/>
            <color indexed="81"/>
            <rFont val="Arial"/>
            <family val="2"/>
          </rPr>
          <t>ươ</t>
        </r>
        <r>
          <rPr>
            <b/>
            <sz val="9"/>
            <color indexed="81"/>
            <rFont val="MS P ゴシック"/>
            <family val="3"/>
            <charset val="128"/>
          </rPr>
          <t>ng</t>
        </r>
      </text>
    </comment>
    <comment ref="P49" authorId="0" shapeId="0" xr:uid="{00000000-0006-0000-0100-000033000000}">
      <text>
        <r>
          <rPr>
            <b/>
            <sz val="9"/>
            <color indexed="81"/>
            <rFont val="ＭＳ Ｐゴシック"/>
            <family val="3"/>
            <charset val="128"/>
          </rPr>
          <t>YUNGCHENG YANG</t>
        </r>
      </text>
    </comment>
    <comment ref="U49" authorId="0" shapeId="0" xr:uid="{00000000-0006-0000-0100-000034000000}">
      <text>
        <r>
          <rPr>
            <b/>
            <sz val="9"/>
            <color indexed="81"/>
            <rFont val="ＭＳ Ｐゴシック"/>
            <family val="3"/>
            <charset val="128"/>
          </rPr>
          <t>Brodie Bain</t>
        </r>
      </text>
    </comment>
    <comment ref="AB49" authorId="0" shapeId="0" xr:uid="{00000000-0006-0000-0100-000035000000}">
      <text>
        <r>
          <rPr>
            <b/>
            <sz val="9"/>
            <color indexed="81"/>
            <rFont val="ＭＳ Ｐゴシック"/>
            <family val="3"/>
            <charset val="128"/>
          </rPr>
          <t>Klayten Asay</t>
        </r>
      </text>
    </comment>
    <comment ref="W54" authorId="1" shapeId="0" xr:uid="{00000000-0006-0000-0100-000036000000}">
      <text>
        <r>
          <rPr>
            <b/>
            <sz val="9"/>
            <color indexed="81"/>
            <rFont val="MS P ゴシック"/>
            <family val="3"/>
            <charset val="128"/>
          </rPr>
          <t>HIRONORI WAKI
想</t>
        </r>
        <r>
          <rPr>
            <b/>
            <sz val="9"/>
            <color indexed="81"/>
            <rFont val="FangSong"/>
            <family val="3"/>
            <charset val="134"/>
          </rPr>
          <t>邮寄快递</t>
        </r>
      </text>
    </comment>
    <comment ref="AE56" authorId="1" shapeId="0" xr:uid="{CE3BBE01-F720-4D20-A5C0-9334AC75D4CB}">
      <text>
        <r>
          <rPr>
            <b/>
            <sz val="9"/>
            <color indexed="81"/>
            <rFont val="MS P ゴシック"/>
            <family val="3"/>
            <charset val="128"/>
          </rPr>
          <t>Oleksii Tarbeiev</t>
        </r>
      </text>
    </comment>
    <comment ref="O59" authorId="0" shapeId="0" xr:uid="{00000000-0006-0000-0100-000037000000}">
      <text>
        <r>
          <rPr>
            <b/>
            <sz val="9"/>
            <color indexed="81"/>
            <rFont val="ＭＳ Ｐゴシック"/>
            <family val="3"/>
            <charset val="128"/>
          </rPr>
          <t>SEAN ANG 3人</t>
        </r>
      </text>
    </comment>
    <comment ref="Z65" authorId="1" shapeId="0" xr:uid="{989169DF-C63B-4AF8-8001-8740E5BD8AD4}">
      <text>
        <r>
          <rPr>
            <b/>
            <sz val="9"/>
            <color indexed="81"/>
            <rFont val="MS P ゴシック"/>
            <family val="3"/>
            <charset val="128"/>
          </rPr>
          <t>明璋 李</t>
        </r>
      </text>
    </comment>
    <comment ref="S67" authorId="1" shapeId="0" xr:uid="{00000000-0006-0000-0100-000038000000}">
      <text>
        <r>
          <rPr>
            <b/>
            <sz val="9"/>
            <color indexed="81"/>
            <rFont val="MS P ゴシック"/>
            <family val="3"/>
            <charset val="128"/>
          </rPr>
          <t>ZILING LIN
要求双人床 2楼 桌子</t>
        </r>
      </text>
    </comment>
    <comment ref="V79" authorId="0" shapeId="0" xr:uid="{00000000-0006-0000-0100-000039000000}">
      <text>
        <r>
          <rPr>
            <b/>
            <sz val="9"/>
            <color indexed="81"/>
            <rFont val="ＭＳ Ｐゴシック"/>
            <family val="3"/>
            <charset val="128"/>
          </rPr>
          <t>Citlali Baez</t>
        </r>
      </text>
    </comment>
    <comment ref="K84" authorId="1" shapeId="0" xr:uid="{00000000-0006-0000-0100-00003A000000}">
      <text>
        <r>
          <rPr>
            <sz val="9"/>
            <color indexed="81"/>
            <rFont val="MS P ゴシック"/>
            <family val="3"/>
            <charset val="128"/>
          </rPr>
          <t>嘉璘 高</t>
        </r>
      </text>
    </comment>
    <comment ref="K86" authorId="1" shapeId="0" xr:uid="{00000000-0006-0000-0100-00003B000000}">
      <text>
        <r>
          <rPr>
            <b/>
            <sz val="9"/>
            <color indexed="81"/>
            <rFont val="MS P ゴシック"/>
            <family val="3"/>
            <charset val="128"/>
          </rPr>
          <t>嘉璘 高</t>
        </r>
      </text>
    </comment>
    <comment ref="K88" authorId="1" shapeId="0" xr:uid="{00000000-0006-0000-0100-00003C000000}">
      <text>
        <r>
          <rPr>
            <b/>
            <sz val="9"/>
            <color indexed="81"/>
            <rFont val="MS P ゴシック"/>
            <family val="3"/>
            <charset val="128"/>
          </rPr>
          <t>嘉璘 高</t>
        </r>
      </text>
    </comment>
    <comment ref="G95" authorId="1" shapeId="0" xr:uid="{00000000-0006-0000-0100-00003D000000}">
      <text>
        <r>
          <rPr>
            <b/>
            <sz val="9"/>
            <color indexed="81"/>
            <rFont val="MS P ゴシック"/>
            <family val="3"/>
            <charset val="128"/>
          </rPr>
          <t>Crystal Lee
2大1小（10</t>
        </r>
        <r>
          <rPr>
            <b/>
            <sz val="9"/>
            <color indexed="81"/>
            <rFont val="FangSong"/>
            <family val="3"/>
            <charset val="134"/>
          </rPr>
          <t>岁）</t>
        </r>
      </text>
    </comment>
    <comment ref="O95" authorId="3" shapeId="0" xr:uid="{0F577033-DE55-47CB-AB1D-6E935A66AB2C}">
      <text>
        <r>
          <rPr>
            <b/>
            <sz val="9"/>
            <color indexed="81"/>
            <rFont val="MS P ゴシック"/>
            <family val="3"/>
            <charset val="128"/>
          </rPr>
          <t>ALDO MONTES TREJO</t>
        </r>
      </text>
    </comment>
    <comment ref="T99" authorId="3" shapeId="0" xr:uid="{27A79EFD-DE23-4901-B7B1-3C34D06F6A60}">
      <text>
        <r>
          <rPr>
            <b/>
            <sz val="9"/>
            <color indexed="81"/>
            <rFont val="MS P ゴシック"/>
            <family val="3"/>
            <charset val="128"/>
          </rPr>
          <t>Amy Macauley</t>
        </r>
      </text>
    </comment>
    <comment ref="E105" authorId="3" shapeId="0" xr:uid="{6A80AFDB-7F36-484D-8B53-B0D1F38F55C8}">
      <text>
        <r>
          <rPr>
            <b/>
            <sz val="9"/>
            <color indexed="81"/>
            <rFont val="MS P ゴシック"/>
            <family val="3"/>
            <charset val="128"/>
          </rPr>
          <t>Leo Nunez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T109" authorId="1" shapeId="0" xr:uid="{BBE58D49-CF87-4120-9C8C-B3F40B245FFC}">
      <text>
        <r>
          <rPr>
            <b/>
            <sz val="9"/>
            <color indexed="81"/>
            <rFont val="MS P ゴシック"/>
            <family val="3"/>
            <charset val="128"/>
          </rPr>
          <t>Blayke Dirou</t>
        </r>
      </text>
    </comment>
  </commentList>
</comments>
</file>

<file path=xl/sharedStrings.xml><?xml version="1.0" encoding="utf-8"?>
<sst xmlns="http://schemas.openxmlformats.org/spreadsheetml/2006/main" count="1021" uniqueCount="125">
  <si>
    <t>森下</t>
    <phoneticPr fontId="1"/>
  </si>
  <si>
    <t>2人</t>
    <phoneticPr fontId="1"/>
  </si>
  <si>
    <t>1人</t>
    <phoneticPr fontId="1"/>
  </si>
  <si>
    <t>退房</t>
    <phoneticPr fontId="1"/>
  </si>
  <si>
    <t>3人</t>
    <phoneticPr fontId="1"/>
  </si>
  <si>
    <t>双人床房</t>
    <phoneticPr fontId="1"/>
  </si>
  <si>
    <t>入住</t>
    <phoneticPr fontId="1"/>
  </si>
  <si>
    <t>线下</t>
    <phoneticPr fontId="1"/>
  </si>
  <si>
    <t>水</t>
  </si>
  <si>
    <t>水</t>
    <rPh sb="0" eb="1">
      <t>スイ</t>
    </rPh>
    <phoneticPr fontId="1"/>
  </si>
  <si>
    <t>木</t>
  </si>
  <si>
    <t>木</t>
    <rPh sb="0" eb="1">
      <t>モク</t>
    </rPh>
    <phoneticPr fontId="1"/>
  </si>
  <si>
    <t>金</t>
  </si>
  <si>
    <t>金</t>
    <rPh sb="0" eb="1">
      <t>キン</t>
    </rPh>
    <phoneticPr fontId="1"/>
  </si>
  <si>
    <t>土</t>
  </si>
  <si>
    <t>日</t>
  </si>
  <si>
    <t>月</t>
  </si>
  <si>
    <t>火</t>
  </si>
  <si>
    <t>利用日数</t>
    <rPh sb="0" eb="2">
      <t>リヨウ</t>
    </rPh>
    <rPh sb="2" eb="4">
      <t>ニッスウ</t>
    </rPh>
    <phoneticPr fontId="1"/>
  </si>
  <si>
    <t>日</t>
    <rPh sb="0" eb="1">
      <t>ニチ</t>
    </rPh>
    <phoneticPr fontId="1"/>
  </si>
  <si>
    <t>入居率
(%)</t>
    <rPh sb="0" eb="2">
      <t>ニュウキョ</t>
    </rPh>
    <rPh sb="2" eb="3">
      <t>リツ</t>
    </rPh>
    <phoneticPr fontId="1"/>
  </si>
  <si>
    <t>单人床房</t>
    <phoneticPr fontId="1"/>
  </si>
  <si>
    <t>退房</t>
  </si>
  <si>
    <t>入住</t>
  </si>
  <si>
    <t>退房</t>
    <phoneticPr fontId="1"/>
  </si>
  <si>
    <t>退房/
入住</t>
    <phoneticPr fontId="1"/>
  </si>
  <si>
    <t xml:space="preserve"> </t>
    <phoneticPr fontId="1"/>
  </si>
  <si>
    <t>入住</t>
    <phoneticPr fontId="1"/>
  </si>
  <si>
    <t>退房</t>
    <phoneticPr fontId="1"/>
  </si>
  <si>
    <t>退房</t>
    <phoneticPr fontId="1"/>
  </si>
  <si>
    <t>入住</t>
    <phoneticPr fontId="1"/>
  </si>
  <si>
    <t>退房</t>
    <phoneticPr fontId="1"/>
  </si>
  <si>
    <t>入住</t>
    <phoneticPr fontId="1"/>
  </si>
  <si>
    <t>入住</t>
    <phoneticPr fontId="1"/>
  </si>
  <si>
    <t>退房</t>
    <phoneticPr fontId="1"/>
  </si>
  <si>
    <t>单人床房</t>
    <phoneticPr fontId="1"/>
  </si>
  <si>
    <t>清扫回数</t>
    <rPh sb="2" eb="4">
      <t>カイスウ</t>
    </rPh>
    <phoneticPr fontId="1"/>
  </si>
  <si>
    <t>簡易
清掃</t>
    <rPh sb="0" eb="2">
      <t>カンイ</t>
    </rPh>
    <rPh sb="3" eb="5">
      <t>セイソウ</t>
    </rPh>
    <phoneticPr fontId="1"/>
  </si>
  <si>
    <t>清掃</t>
    <rPh sb="0" eb="2">
      <t>セイソウ</t>
    </rPh>
    <phoneticPr fontId="1"/>
  </si>
  <si>
    <r>
      <t xml:space="preserve">入住
</t>
    </r>
    <r>
      <rPr>
        <sz val="6"/>
        <color theme="1"/>
        <rFont val="SimSun"/>
        <charset val="134"/>
      </rPr>
      <t>(线下)</t>
    </r>
    <phoneticPr fontId="1"/>
  </si>
  <si>
    <t>退房</t>
    <phoneticPr fontId="1"/>
  </si>
  <si>
    <t>退房</t>
    <phoneticPr fontId="1"/>
  </si>
  <si>
    <t>入住</t>
    <phoneticPr fontId="1"/>
  </si>
  <si>
    <t>退房</t>
    <phoneticPr fontId="1"/>
  </si>
  <si>
    <t>退房/
入住</t>
    <phoneticPr fontId="1"/>
  </si>
  <si>
    <t>入住</t>
    <phoneticPr fontId="1"/>
  </si>
  <si>
    <t>退房</t>
    <phoneticPr fontId="1"/>
  </si>
  <si>
    <t>大2</t>
    <phoneticPr fontId="1"/>
  </si>
  <si>
    <t>大3</t>
    <phoneticPr fontId="1"/>
  </si>
  <si>
    <t>大1</t>
    <phoneticPr fontId="1"/>
  </si>
  <si>
    <t>退房/
入住</t>
    <phoneticPr fontId="1"/>
  </si>
  <si>
    <t>大2
２Bed</t>
    <phoneticPr fontId="1"/>
  </si>
  <si>
    <t>大3
３Bed</t>
    <phoneticPr fontId="1"/>
  </si>
  <si>
    <t>1/3の
清掃</t>
    <rPh sb="5" eb="7">
      <t>セイソウ</t>
    </rPh>
    <phoneticPr fontId="1"/>
  </si>
  <si>
    <t>大3</t>
    <phoneticPr fontId="1"/>
  </si>
  <si>
    <t>退房/
入住</t>
    <phoneticPr fontId="1"/>
  </si>
  <si>
    <t>大1</t>
    <phoneticPr fontId="1"/>
  </si>
  <si>
    <t>大3
３Bed</t>
    <phoneticPr fontId="1"/>
  </si>
  <si>
    <t>送3条
毛巾</t>
    <phoneticPr fontId="1"/>
  </si>
  <si>
    <t>退房/
入住</t>
    <phoneticPr fontId="1"/>
  </si>
  <si>
    <t>原201
客人</t>
    <phoneticPr fontId="1"/>
  </si>
  <si>
    <t>大3</t>
  </si>
  <si>
    <t>2大
2小</t>
    <phoneticPr fontId="1"/>
  </si>
  <si>
    <t>大2 
15点</t>
    <phoneticPr fontId="1"/>
  </si>
  <si>
    <t>大1
小2</t>
    <phoneticPr fontId="1"/>
  </si>
  <si>
    <t>大2</t>
    <phoneticPr fontId="1"/>
  </si>
  <si>
    <t>退房/入住</t>
    <phoneticPr fontId="1"/>
  </si>
  <si>
    <t>小3
3床</t>
    <phoneticPr fontId="1"/>
  </si>
  <si>
    <t>大人2</t>
    <phoneticPr fontId="1"/>
  </si>
  <si>
    <t>4人
3Bed</t>
    <phoneticPr fontId="1"/>
  </si>
  <si>
    <t>3
Beds</t>
    <phoneticPr fontId="1"/>
  </si>
  <si>
    <t>3
Beds</t>
    <phoneticPr fontId="1"/>
  </si>
  <si>
    <t>12点
IN</t>
    <phoneticPr fontId="1"/>
  </si>
  <si>
    <t>大2  7:00到日本</t>
    <phoneticPr fontId="1"/>
  </si>
  <si>
    <t xml:space="preserve">大2 双人床 </t>
    <phoneticPr fontId="1"/>
  </si>
  <si>
    <t>爱
大2
13点</t>
    <phoneticPr fontId="1"/>
  </si>
  <si>
    <t>大2</t>
    <phoneticPr fontId="1"/>
  </si>
  <si>
    <t>爱</t>
    <phoneticPr fontId="1"/>
  </si>
  <si>
    <t>大3 提前放行李</t>
    <phoneticPr fontId="1"/>
  </si>
  <si>
    <t>3
Beds</t>
    <phoneticPr fontId="1"/>
  </si>
  <si>
    <r>
      <rPr>
        <b/>
        <sz val="9"/>
        <color rgb="FFFF0000"/>
        <rFont val="SimSun"/>
        <charset val="134"/>
      </rPr>
      <t>爱</t>
    </r>
    <r>
      <rPr>
        <sz val="9"/>
        <color rgb="FFFF0000"/>
        <rFont val="SimSun"/>
        <charset val="134"/>
      </rPr>
      <t xml:space="preserve"> </t>
    </r>
    <r>
      <rPr>
        <sz val="9"/>
        <color theme="1"/>
        <rFont val="SimSun"/>
        <charset val="134"/>
      </rPr>
      <t>大1小1 行李多</t>
    </r>
    <phoneticPr fontId="1"/>
  </si>
  <si>
    <r>
      <rPr>
        <b/>
        <sz val="9"/>
        <color rgb="FFFF0000"/>
        <rFont val="SimSun"/>
        <charset val="134"/>
      </rPr>
      <t xml:space="preserve">爱 </t>
    </r>
    <r>
      <rPr>
        <sz val="9"/>
        <color theme="1"/>
        <rFont val="SimSun"/>
        <charset val="134"/>
      </rPr>
      <t>大人2</t>
    </r>
    <phoneticPr fontId="1"/>
  </si>
  <si>
    <r>
      <rPr>
        <sz val="9"/>
        <rFont val="SimSun"/>
        <charset val="134"/>
      </rPr>
      <t>大3</t>
    </r>
    <r>
      <rPr>
        <sz val="9"/>
        <color rgb="FFFF0000"/>
        <rFont val="SimSun"/>
        <charset val="134"/>
      </rPr>
      <t xml:space="preserve">
</t>
    </r>
    <r>
      <rPr>
        <b/>
        <sz val="9"/>
        <color rgb="FFFF0000"/>
        <rFont val="SimSun"/>
        <charset val="134"/>
      </rPr>
      <t>爱</t>
    </r>
    <phoneticPr fontId="1"/>
  </si>
  <si>
    <r>
      <rPr>
        <b/>
        <sz val="9"/>
        <color rgb="FFFF0000"/>
        <rFont val="SimSun"/>
        <charset val="134"/>
      </rPr>
      <t>Expe</t>
    </r>
    <r>
      <rPr>
        <sz val="9"/>
        <color theme="1"/>
        <rFont val="SimSun"/>
        <charset val="134"/>
      </rPr>
      <t xml:space="preserve">
大2
小2</t>
    </r>
    <phoneticPr fontId="1"/>
  </si>
  <si>
    <r>
      <t xml:space="preserve">大3
</t>
    </r>
    <r>
      <rPr>
        <b/>
        <sz val="9"/>
        <color rgb="FFFF0000"/>
        <rFont val="SimSun"/>
        <charset val="134"/>
      </rPr>
      <t>爱</t>
    </r>
    <phoneticPr fontId="1"/>
  </si>
  <si>
    <r>
      <t xml:space="preserve">大2小1 </t>
    </r>
    <r>
      <rPr>
        <b/>
        <sz val="9"/>
        <color rgb="FFFF0000"/>
        <rFont val="SimSun"/>
        <charset val="134"/>
      </rPr>
      <t>爱</t>
    </r>
    <phoneticPr fontId="1"/>
  </si>
  <si>
    <t>大2 信息消失 俄</t>
    <phoneticPr fontId="1"/>
  </si>
  <si>
    <t>大3</t>
    <phoneticPr fontId="1"/>
  </si>
  <si>
    <t>大3</t>
    <phoneticPr fontId="1"/>
  </si>
  <si>
    <t>跟5/7-10同一组客人</t>
    <phoneticPr fontId="1"/>
  </si>
  <si>
    <t>大2</t>
  </si>
  <si>
    <t>大4</t>
  </si>
  <si>
    <t>Expe</t>
  </si>
  <si>
    <t>15点
IN</t>
    <phoneticPr fontId="1"/>
  </si>
  <si>
    <t>入住</t>
    <phoneticPr fontId="1"/>
  </si>
  <si>
    <t>退房/
入住</t>
    <phoneticPr fontId="1"/>
  </si>
  <si>
    <t>大2
小2</t>
    <phoneticPr fontId="1"/>
  </si>
  <si>
    <t>3
Beds</t>
    <phoneticPr fontId="1"/>
  </si>
  <si>
    <t>退房</t>
    <phoneticPr fontId="1"/>
  </si>
  <si>
    <t>大3
小1</t>
    <phoneticPr fontId="1"/>
  </si>
  <si>
    <t>不拼沙发</t>
    <phoneticPr fontId="1"/>
  </si>
  <si>
    <t>想要
小桌</t>
    <phoneticPr fontId="1"/>
  </si>
  <si>
    <t>15点</t>
    <phoneticPr fontId="1"/>
  </si>
  <si>
    <t>加床
1人</t>
    <phoneticPr fontId="1"/>
  </si>
  <si>
    <t>3位 大2 +小8岁　３Beds</t>
    <phoneticPr fontId="1"/>
  </si>
  <si>
    <t>退房/
入住</t>
  </si>
  <si>
    <r>
      <t xml:space="preserve">退房
</t>
    </r>
    <r>
      <rPr>
        <sz val="9"/>
        <color theme="1"/>
        <rFont val="游ゴシック"/>
        <family val="3"/>
        <charset val="128"/>
      </rPr>
      <t>/</t>
    </r>
    <r>
      <rPr>
        <sz val="9"/>
        <color theme="1"/>
        <rFont val="SimSun"/>
        <charset val="134"/>
      </rPr>
      <t>入住</t>
    </r>
    <phoneticPr fontId="1"/>
  </si>
  <si>
    <t>帮忙搬行李</t>
    <phoneticPr fontId="1"/>
  </si>
  <si>
    <t>Expe</t>
    <phoneticPr fontId="1"/>
  </si>
  <si>
    <t>大3  15点IN</t>
    <phoneticPr fontId="1"/>
  </si>
  <si>
    <t xml:space="preserve">大3 </t>
    <phoneticPr fontId="1"/>
  </si>
  <si>
    <t>大2</t>
    <phoneticPr fontId="1"/>
  </si>
  <si>
    <t>入住</t>
    <phoneticPr fontId="1"/>
  </si>
  <si>
    <t>退房</t>
    <phoneticPr fontId="1"/>
  </si>
  <si>
    <t>大2
小2</t>
    <phoneticPr fontId="1"/>
  </si>
  <si>
    <t>3
Beds</t>
    <phoneticPr fontId="1"/>
  </si>
  <si>
    <t>大人3</t>
    <phoneticPr fontId="1"/>
  </si>
  <si>
    <t>大2 小1</t>
    <phoneticPr fontId="1"/>
  </si>
  <si>
    <t>10点
IN</t>
    <phoneticPr fontId="1"/>
  </si>
  <si>
    <t>2大1小（0岁）15点</t>
    <phoneticPr fontId="1"/>
  </si>
  <si>
    <t>2大2小</t>
    <phoneticPr fontId="1"/>
  </si>
  <si>
    <t>大人2和8岁3岁</t>
    <phoneticPr fontId="1"/>
  </si>
  <si>
    <t>exp</t>
    <phoneticPr fontId="1"/>
  </si>
  <si>
    <t>2大人1岁</t>
    <phoneticPr fontId="1"/>
  </si>
  <si>
    <t>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</si>
</sst>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&quot;年&quot;m&quot;月&quot;;@"/>
    <numFmt numFmtId="177" formatCode="0&quot;日&quot;"/>
    <numFmt numFmtId="178" formatCode="0&quot;回&quot;"/>
  </numFmts>
  <fonts count="3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theme="1"/>
      <name val="SimSun"/>
      <charset val="134"/>
    </font>
    <font>
      <b/>
      <sz val="11"/>
      <color theme="1"/>
      <name val="SimSun"/>
      <charset val="134"/>
    </font>
    <font>
      <sz val="9"/>
      <color theme="1"/>
      <name val="SimSun"/>
      <charset val="134"/>
    </font>
    <font>
      <sz val="8"/>
      <color theme="1"/>
      <name val="SimSun"/>
      <charset val="134"/>
    </font>
    <font>
      <sz val="8"/>
      <name val="SimSun"/>
      <charset val="134"/>
    </font>
    <font>
      <sz val="9"/>
      <color indexed="81"/>
      <name val="FangSong"/>
      <family val="3"/>
      <charset val="134"/>
    </font>
    <font>
      <b/>
      <sz val="9"/>
      <color indexed="81"/>
      <name val="FangSong"/>
      <family val="3"/>
      <charset val="134"/>
    </font>
    <font>
      <b/>
      <sz val="9"/>
      <color indexed="81"/>
      <name val="ＭＳ Ｐゴシック"/>
      <family val="3"/>
      <charset val="128"/>
    </font>
    <font>
      <sz val="6"/>
      <color theme="1"/>
      <name val="SimSun"/>
      <charset val="134"/>
    </font>
    <font>
      <b/>
      <sz val="9"/>
      <color indexed="81"/>
      <name val="游ゴシック"/>
      <family val="3"/>
      <charset val="134"/>
    </font>
    <font>
      <sz val="7"/>
      <name val="SimSun"/>
      <charset val="134"/>
    </font>
    <font>
      <b/>
      <sz val="8"/>
      <color rgb="FFFF0000"/>
      <name val="SimSun"/>
      <charset val="134"/>
    </font>
    <font>
      <b/>
      <sz val="11"/>
      <color rgb="FFFF0000"/>
      <name val="SimSun"/>
      <charset val="134"/>
    </font>
    <font>
      <b/>
      <sz val="9"/>
      <color rgb="FFFF0000"/>
      <name val="SimSun"/>
      <charset val="134"/>
    </font>
    <font>
      <b/>
      <sz val="11"/>
      <name val="SimSun"/>
      <charset val="134"/>
    </font>
    <font>
      <sz val="8"/>
      <color theme="4"/>
      <name val="SimSun"/>
      <charset val="134"/>
    </font>
    <font>
      <sz val="8"/>
      <color rgb="FFFF0000"/>
      <name val="SimSun"/>
      <charset val="134"/>
    </font>
    <font>
      <sz val="9"/>
      <color indexed="81"/>
      <name val="ＭＳ Ｐゴシック"/>
      <family val="3"/>
      <charset val="128"/>
    </font>
    <font>
      <b/>
      <sz val="9"/>
      <color indexed="10"/>
      <name val="FangSong"/>
      <family val="3"/>
      <charset val="134"/>
    </font>
    <font>
      <sz val="9"/>
      <name val="SimSun"/>
      <charset val="134"/>
    </font>
    <font>
      <sz val="9"/>
      <color rgb="FFFF0000"/>
      <name val="SimSun"/>
      <charset val="134"/>
    </font>
    <font>
      <b/>
      <sz val="9"/>
      <color indexed="81"/>
      <name val="Malgun Gothic Semilight"/>
      <family val="3"/>
      <charset val="129"/>
    </font>
    <font>
      <b/>
      <sz val="9"/>
      <color indexed="10"/>
      <name val="游ゴシック Light"/>
      <family val="3"/>
      <charset val="128"/>
    </font>
    <font>
      <sz val="9"/>
      <color theme="1"/>
      <name val="游ゴシック"/>
      <family val="3"/>
      <charset val="128"/>
    </font>
    <font>
      <b/>
      <sz val="9"/>
      <color indexed="81"/>
      <name val="MingLiU"/>
      <family val="3"/>
      <charset val="136"/>
    </font>
    <font>
      <b/>
      <sz val="9"/>
      <color indexed="81"/>
      <name val="游ゴシック Light"/>
      <family val="3"/>
      <charset val="128"/>
    </font>
    <font>
      <b/>
      <sz val="9"/>
      <color indexed="8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99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5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9" borderId="0" xfId="0" applyFont="1" applyFill="1">
      <alignment vertical="center"/>
    </xf>
    <xf numFmtId="0" fontId="4" fillId="5" borderId="0" xfId="0" applyFont="1" applyFill="1">
      <alignment vertical="center"/>
    </xf>
    <xf numFmtId="0" fontId="4" fillId="2" borderId="0" xfId="0" applyFont="1" applyFill="1">
      <alignment vertical="center"/>
    </xf>
    <xf numFmtId="0" fontId="6" fillId="0" borderId="0" xfId="0" applyFont="1">
      <alignment vertical="center"/>
    </xf>
    <xf numFmtId="177" fontId="4" fillId="0" borderId="0" xfId="0" applyNumberFormat="1" applyFont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4" fillId="7" borderId="16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77" fontId="4" fillId="8" borderId="26" xfId="0" applyNumberFormat="1" applyFont="1" applyFill="1" applyBorder="1" applyAlignment="1">
      <alignment horizontal="center" vertical="center"/>
    </xf>
    <xf numFmtId="10" fontId="4" fillId="8" borderId="26" xfId="0" applyNumberFormat="1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7" fillId="0" borderId="1" xfId="0" applyFont="1" applyBorder="1">
      <alignment vertical="center"/>
    </xf>
    <xf numFmtId="177" fontId="4" fillId="8" borderId="28" xfId="0" applyNumberFormat="1" applyFont="1" applyFill="1" applyBorder="1" applyAlignment="1">
      <alignment horizontal="center" vertical="center"/>
    </xf>
    <xf numFmtId="10" fontId="4" fillId="8" borderId="28" xfId="0" applyNumberFormat="1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77" fontId="4" fillId="8" borderId="27" xfId="0" applyNumberFormat="1" applyFont="1" applyFill="1" applyBorder="1" applyAlignment="1">
      <alignment horizontal="center" vertical="center"/>
    </xf>
    <xf numFmtId="10" fontId="4" fillId="8" borderId="27" xfId="0" applyNumberFormat="1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7" fillId="3" borderId="1" xfId="0" applyFont="1" applyFill="1" applyBorder="1">
      <alignment vertical="center"/>
    </xf>
    <xf numFmtId="0" fontId="4" fillId="0" borderId="10" xfId="0" applyFont="1" applyBorder="1" applyAlignment="1">
      <alignment horizontal="center" vertical="center"/>
    </xf>
    <xf numFmtId="0" fontId="7" fillId="3" borderId="10" xfId="0" applyFont="1" applyFill="1" applyBorder="1">
      <alignment vertical="center"/>
    </xf>
    <xf numFmtId="0" fontId="4" fillId="0" borderId="18" xfId="0" applyFont="1" applyBorder="1" applyAlignment="1">
      <alignment horizontal="center" vertical="center"/>
    </xf>
    <xf numFmtId="0" fontId="4" fillId="10" borderId="0" xfId="0" applyFont="1" applyFill="1">
      <alignment vertical="center"/>
    </xf>
    <xf numFmtId="0" fontId="7" fillId="0" borderId="10" xfId="0" applyFont="1" applyBorder="1">
      <alignment vertical="center"/>
    </xf>
    <xf numFmtId="0" fontId="7" fillId="5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9" borderId="10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9" borderId="13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9" borderId="24" xfId="0" applyFont="1" applyFill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177" fontId="5" fillId="6" borderId="0" xfId="0" applyNumberFormat="1" applyFont="1" applyFill="1" applyAlignment="1">
      <alignment horizontal="center" vertical="center" wrapText="1"/>
    </xf>
    <xf numFmtId="177" fontId="5" fillId="6" borderId="0" xfId="0" applyNumberFormat="1" applyFont="1" applyFill="1" applyAlignment="1">
      <alignment horizontal="center" vertical="center"/>
    </xf>
    <xf numFmtId="177" fontId="4" fillId="8" borderId="0" xfId="0" applyNumberFormat="1" applyFont="1" applyFill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78" fontId="4" fillId="8" borderId="26" xfId="0" applyNumberFormat="1" applyFont="1" applyFill="1" applyBorder="1" applyAlignment="1">
      <alignment horizontal="center" vertical="center"/>
    </xf>
    <xf numFmtId="178" fontId="4" fillId="8" borderId="28" xfId="0" applyNumberFormat="1" applyFont="1" applyFill="1" applyBorder="1" applyAlignment="1">
      <alignment horizontal="center" vertical="center"/>
    </xf>
    <xf numFmtId="178" fontId="4" fillId="8" borderId="27" xfId="0" applyNumberFormat="1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7" fillId="0" borderId="2" xfId="0" applyFont="1" applyBorder="1">
      <alignment vertical="center"/>
    </xf>
    <xf numFmtId="0" fontId="7" fillId="9" borderId="1" xfId="0" applyFont="1" applyFill="1" applyBorder="1">
      <alignment vertical="center"/>
    </xf>
    <xf numFmtId="0" fontId="7" fillId="10" borderId="10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 wrapText="1"/>
    </xf>
    <xf numFmtId="0" fontId="7" fillId="9" borderId="3" xfId="0" applyFont="1" applyFill="1" applyBorder="1" applyAlignment="1">
      <alignment horizontal="center" vertical="center"/>
    </xf>
    <xf numFmtId="0" fontId="7" fillId="9" borderId="18" xfId="0" applyFont="1" applyFill="1" applyBorder="1" applyAlignment="1">
      <alignment horizontal="center" vertical="center"/>
    </xf>
    <xf numFmtId="0" fontId="4" fillId="7" borderId="29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0" fontId="7" fillId="0" borderId="3" xfId="0" applyFont="1" applyBorder="1">
      <alignment vertical="center"/>
    </xf>
    <xf numFmtId="0" fontId="4" fillId="9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10" borderId="2" xfId="0" applyFont="1" applyFill="1" applyBorder="1" applyAlignment="1">
      <alignment horizontal="center" vertical="center"/>
    </xf>
    <xf numFmtId="0" fontId="7" fillId="0" borderId="30" xfId="0" applyFont="1" applyBorder="1">
      <alignment vertical="center"/>
    </xf>
    <xf numFmtId="0" fontId="7" fillId="0" borderId="30" xfId="0" applyFont="1" applyBorder="1" applyAlignment="1">
      <alignment horizontal="center" vertical="center"/>
    </xf>
    <xf numFmtId="0" fontId="7" fillId="5" borderId="3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8" fillId="10" borderId="10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 vertical="center" wrapText="1"/>
    </xf>
    <xf numFmtId="0" fontId="15" fillId="9" borderId="2" xfId="0" applyFont="1" applyFill="1" applyBorder="1" applyAlignment="1">
      <alignment horizontal="center" vertical="center" wrapText="1"/>
    </xf>
    <xf numFmtId="178" fontId="4" fillId="0" borderId="0" xfId="0" applyNumberFormat="1" applyFont="1" applyAlignment="1">
      <alignment horizontal="center" vertical="center" wrapText="1"/>
    </xf>
    <xf numFmtId="178" fontId="4" fillId="8" borderId="26" xfId="0" applyNumberFormat="1" applyFont="1" applyFill="1" applyBorder="1" applyAlignment="1">
      <alignment horizontal="center" vertical="center" wrapText="1"/>
    </xf>
    <xf numFmtId="178" fontId="4" fillId="8" borderId="28" xfId="0" applyNumberFormat="1" applyFont="1" applyFill="1" applyBorder="1" applyAlignment="1">
      <alignment horizontal="center" vertical="center" wrapText="1"/>
    </xf>
    <xf numFmtId="178" fontId="4" fillId="8" borderId="27" xfId="0" applyNumberFormat="1" applyFont="1" applyFill="1" applyBorder="1" applyAlignment="1">
      <alignment horizontal="center" vertical="center" wrapText="1"/>
    </xf>
    <xf numFmtId="178" fontId="16" fillId="8" borderId="26" xfId="0" applyNumberFormat="1" applyFont="1" applyFill="1" applyBorder="1" applyAlignment="1">
      <alignment horizontal="center" vertical="center" wrapText="1"/>
    </xf>
    <xf numFmtId="178" fontId="16" fillId="8" borderId="28" xfId="0" applyNumberFormat="1" applyFont="1" applyFill="1" applyBorder="1" applyAlignment="1">
      <alignment horizontal="center" vertical="center" wrapText="1"/>
    </xf>
    <xf numFmtId="0" fontId="7" fillId="9" borderId="10" xfId="0" applyFont="1" applyFill="1" applyBorder="1">
      <alignment vertical="center"/>
    </xf>
    <xf numFmtId="0" fontId="7" fillId="9" borderId="10" xfId="0" applyFont="1" applyFill="1" applyBorder="1" applyAlignment="1">
      <alignment vertical="center" wrapText="1"/>
    </xf>
    <xf numFmtId="0" fontId="7" fillId="9" borderId="11" xfId="0" applyFont="1" applyFill="1" applyBorder="1" applyAlignment="1">
      <alignment horizontal="center" vertical="center"/>
    </xf>
    <xf numFmtId="0" fontId="7" fillId="9" borderId="18" xfId="0" applyFont="1" applyFill="1" applyBorder="1">
      <alignment vertical="center"/>
    </xf>
    <xf numFmtId="178" fontId="17" fillId="8" borderId="28" xfId="0" applyNumberFormat="1" applyFont="1" applyFill="1" applyBorder="1" applyAlignment="1">
      <alignment horizontal="center" vertical="center" wrapText="1"/>
    </xf>
    <xf numFmtId="10" fontId="4" fillId="0" borderId="0" xfId="0" applyNumberFormat="1" applyFont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10" fontId="5" fillId="0" borderId="0" xfId="0" applyNumberFormat="1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10" fontId="18" fillId="0" borderId="0" xfId="0" applyNumberFormat="1" applyFont="1" applyAlignment="1">
      <alignment horizontal="center" vertical="center"/>
    </xf>
    <xf numFmtId="0" fontId="7" fillId="10" borderId="10" xfId="0" applyFont="1" applyFill="1" applyBorder="1">
      <alignment vertical="center"/>
    </xf>
    <xf numFmtId="0" fontId="7" fillId="10" borderId="11" xfId="0" applyFont="1" applyFill="1" applyBorder="1">
      <alignment vertical="center"/>
    </xf>
    <xf numFmtId="0" fontId="7" fillId="9" borderId="8" xfId="0" applyFont="1" applyFill="1" applyBorder="1">
      <alignment vertical="center"/>
    </xf>
    <xf numFmtId="0" fontId="7" fillId="5" borderId="2" xfId="0" applyFont="1" applyFill="1" applyBorder="1">
      <alignment vertical="center"/>
    </xf>
    <xf numFmtId="0" fontId="7" fillId="10" borderId="1" xfId="0" applyFont="1" applyFill="1" applyBorder="1">
      <alignment vertical="center"/>
    </xf>
    <xf numFmtId="0" fontId="19" fillId="0" borderId="1" xfId="0" applyFont="1" applyBorder="1" applyAlignment="1">
      <alignment horizontal="center" vertical="center"/>
    </xf>
    <xf numFmtId="0" fontId="7" fillId="5" borderId="8" xfId="0" applyFont="1" applyFill="1" applyBorder="1">
      <alignment vertical="center"/>
    </xf>
    <xf numFmtId="0" fontId="7" fillId="9" borderId="24" xfId="0" applyFont="1" applyFill="1" applyBorder="1">
      <alignment vertical="center"/>
    </xf>
    <xf numFmtId="0" fontId="7" fillId="11" borderId="1" xfId="0" applyFont="1" applyFill="1" applyBorder="1">
      <alignment vertical="center"/>
    </xf>
    <xf numFmtId="0" fontId="8" fillId="11" borderId="1" xfId="0" applyFont="1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/>
    </xf>
    <xf numFmtId="0" fontId="15" fillId="11" borderId="1" xfId="0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 vertical="center"/>
    </xf>
    <xf numFmtId="0" fontId="7" fillId="11" borderId="25" xfId="0" applyFont="1" applyFill="1" applyBorder="1" applyAlignment="1">
      <alignment horizontal="center" vertical="center"/>
    </xf>
    <xf numFmtId="0" fontId="7" fillId="9" borderId="10" xfId="0" applyFont="1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7" fillId="10" borderId="10" xfId="0" applyFont="1" applyFill="1" applyBorder="1" applyAlignment="1">
      <alignment horizontal="center" vertical="center" wrapText="1"/>
    </xf>
    <xf numFmtId="0" fontId="20" fillId="10" borderId="1" xfId="0" applyFont="1" applyFill="1" applyBorder="1" applyAlignment="1">
      <alignment horizontal="center" vertical="center" wrapText="1"/>
    </xf>
    <xf numFmtId="0" fontId="7" fillId="10" borderId="8" xfId="0" applyFont="1" applyFill="1" applyBorder="1" applyAlignment="1">
      <alignment horizontal="center" vertical="center"/>
    </xf>
    <xf numFmtId="0" fontId="15" fillId="0" borderId="30" xfId="0" applyFont="1" applyBorder="1">
      <alignment vertical="center"/>
    </xf>
    <xf numFmtId="0" fontId="5" fillId="9" borderId="5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5" fillId="9" borderId="23" xfId="0" applyFont="1" applyFill="1" applyBorder="1" applyAlignment="1">
      <alignment horizontal="center" vertical="center"/>
    </xf>
    <xf numFmtId="0" fontId="5" fillId="9" borderId="10" xfId="0" applyFont="1" applyFill="1" applyBorder="1" applyAlignment="1">
      <alignment horizontal="center" vertical="center"/>
    </xf>
    <xf numFmtId="0" fontId="5" fillId="9" borderId="18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9" borderId="5" xfId="0" applyFont="1" applyFill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9" borderId="10" xfId="0" applyFont="1" applyFill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/>
    </xf>
    <xf numFmtId="0" fontId="6" fillId="9" borderId="13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23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left" vertical="center"/>
    </xf>
    <xf numFmtId="0" fontId="6" fillId="9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9" borderId="3" xfId="0" applyFont="1" applyFill="1" applyBorder="1" applyAlignment="1">
      <alignment horizontal="center" vertical="center"/>
    </xf>
    <xf numFmtId="0" fontId="6" fillId="10" borderId="18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left" vertical="center"/>
    </xf>
    <xf numFmtId="0" fontId="23" fillId="0" borderId="10" xfId="0" applyFont="1" applyBorder="1" applyAlignment="1">
      <alignment horizontal="center" vertical="center"/>
    </xf>
    <xf numFmtId="0" fontId="23" fillId="9" borderId="10" xfId="0" applyFont="1" applyFill="1" applyBorder="1" applyAlignment="1">
      <alignment horizontal="center" vertical="center"/>
    </xf>
    <xf numFmtId="0" fontId="6" fillId="9" borderId="10" xfId="0" applyFont="1" applyFill="1" applyBorder="1" applyAlignment="1">
      <alignment horizontal="center" vertical="center"/>
    </xf>
    <xf numFmtId="0" fontId="6" fillId="9" borderId="24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24" fillId="9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left" vertical="center"/>
    </xf>
    <xf numFmtId="0" fontId="23" fillId="9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/>
    </xf>
    <xf numFmtId="0" fontId="23" fillId="10" borderId="1" xfId="0" applyFont="1" applyFill="1" applyBorder="1" applyAlignment="1">
      <alignment horizontal="center" vertical="center" wrapText="1"/>
    </xf>
    <xf numFmtId="0" fontId="6" fillId="9" borderId="18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23" fillId="10" borderId="10" xfId="0" applyFont="1" applyFill="1" applyBorder="1" applyAlignment="1">
      <alignment horizontal="left" vertical="center"/>
    </xf>
    <xf numFmtId="0" fontId="6" fillId="0" borderId="24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 wrapText="1"/>
    </xf>
    <xf numFmtId="0" fontId="6" fillId="10" borderId="13" xfId="0" applyFont="1" applyFill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 wrapText="1"/>
    </xf>
    <xf numFmtId="0" fontId="6" fillId="9" borderId="2" xfId="0" applyFont="1" applyFill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 wrapText="1"/>
    </xf>
    <xf numFmtId="0" fontId="23" fillId="2" borderId="10" xfId="0" applyFont="1" applyFill="1" applyBorder="1" applyAlignment="1">
      <alignment horizontal="left" vertical="center"/>
    </xf>
    <xf numFmtId="0" fontId="23" fillId="2" borderId="10" xfId="0" applyFont="1" applyFill="1" applyBorder="1" applyAlignment="1">
      <alignment horizontal="center" vertical="center"/>
    </xf>
    <xf numFmtId="0" fontId="6" fillId="9" borderId="10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/>
    </xf>
    <xf numFmtId="0" fontId="24" fillId="2" borderId="13" xfId="0" applyFont="1" applyFill="1" applyBorder="1" applyAlignment="1">
      <alignment horizontal="center" vertical="center" wrapText="1"/>
    </xf>
    <xf numFmtId="0" fontId="6" fillId="2" borderId="1" xfId="0" applyFont="1" applyFill="1" applyBorder="1">
      <alignment vertical="center"/>
    </xf>
    <xf numFmtId="0" fontId="17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17" fillId="5" borderId="1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 wrapText="1"/>
    </xf>
    <xf numFmtId="0" fontId="17" fillId="2" borderId="1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23" fillId="2" borderId="13" xfId="0" applyFont="1" applyFill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5" borderId="1" xfId="0" applyFont="1" applyFill="1" applyBorder="1" applyAlignment="1">
      <alignment horizontal="center" vertical="center"/>
    </xf>
    <xf numFmtId="0" fontId="23" fillId="2" borderId="12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left" vertical="center"/>
    </xf>
    <xf numFmtId="0" fontId="17" fillId="2" borderId="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 wrapText="1"/>
    </xf>
    <xf numFmtId="0" fontId="23" fillId="2" borderId="10" xfId="0" applyFont="1" applyFill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2" borderId="1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177" fontId="5" fillId="6" borderId="26" xfId="0" applyNumberFormat="1" applyFont="1" applyFill="1" applyBorder="1" applyAlignment="1">
      <alignment horizontal="center" vertical="center" wrapText="1"/>
    </xf>
    <xf numFmtId="177" fontId="5" fillId="6" borderId="27" xfId="0" applyNumberFormat="1" applyFont="1" applyFill="1" applyBorder="1" applyAlignment="1">
      <alignment horizontal="center" vertical="center"/>
    </xf>
    <xf numFmtId="10" fontId="5" fillId="6" borderId="26" xfId="0" applyNumberFormat="1" applyFont="1" applyFill="1" applyBorder="1" applyAlignment="1">
      <alignment horizontal="center" vertical="center" wrapText="1"/>
    </xf>
    <xf numFmtId="10" fontId="5" fillId="6" borderId="27" xfId="0" applyNumberFormat="1" applyFont="1" applyFill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0" fontId="5" fillId="6" borderId="21" xfId="0" applyNumberFormat="1" applyFont="1" applyFill="1" applyBorder="1" applyAlignment="1">
      <alignment horizontal="center" vertical="center" wrapText="1"/>
    </xf>
    <xf numFmtId="10" fontId="5" fillId="6" borderId="22" xfId="0" applyNumberFormat="1" applyFont="1" applyFill="1" applyBorder="1" applyAlignment="1">
      <alignment horizontal="center" vertical="center" wrapText="1"/>
    </xf>
    <xf numFmtId="178" fontId="5" fillId="6" borderId="26" xfId="0" applyNumberFormat="1" applyFont="1" applyFill="1" applyBorder="1" applyAlignment="1">
      <alignment horizontal="center" vertical="center" wrapText="1"/>
    </xf>
    <xf numFmtId="178" fontId="5" fillId="6" borderId="27" xfId="0" applyNumberFormat="1" applyFont="1" applyFill="1" applyBorder="1" applyAlignment="1">
      <alignment horizontal="center" vertical="center"/>
    </xf>
    <xf numFmtId="178" fontId="5" fillId="6" borderId="27" xfId="0" applyNumberFormat="1" applyFont="1" applyFill="1" applyBorder="1" applyAlignment="1">
      <alignment horizontal="center" vertical="center" wrapText="1"/>
    </xf>
    <xf numFmtId="177" fontId="5" fillId="6" borderId="21" xfId="0" applyNumberFormat="1" applyFont="1" applyFill="1" applyBorder="1" applyAlignment="1">
      <alignment horizontal="center" vertical="center" wrapText="1"/>
    </xf>
    <xf numFmtId="177" fontId="5" fillId="6" borderId="22" xfId="0" applyNumberFormat="1" applyFont="1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CC"/>
      <color rgb="FFFF66FF"/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203200</xdr:colOff>
      <xdr:row>14</xdr:row>
      <xdr:rowOff>8467</xdr:rowOff>
    </xdr:from>
    <xdr:to>
      <xdr:col>21</xdr:col>
      <xdr:colOff>203201</xdr:colOff>
      <xdr:row>15</xdr:row>
      <xdr:rowOff>1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H="1" flipV="1">
          <a:off x="7620000" y="5105400"/>
          <a:ext cx="1" cy="35560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30"/>
  <sheetViews>
    <sheetView view="pageBreakPreview" topLeftCell="A10" zoomScale="60" zoomScaleNormal="90" workbookViewId="0">
      <selection activeCell="AC7" sqref="AC7"/>
    </sheetView>
  </sheetViews>
  <sheetFormatPr defaultColWidth="8.625" defaultRowHeight="18" customHeight="1"/>
  <cols>
    <col min="1" max="1" width="5.125" style="1" customWidth="1"/>
    <col min="2" max="2" width="9.875" style="1" customWidth="1"/>
    <col min="3" max="33" width="4.125" style="2" customWidth="1"/>
    <col min="34" max="35" width="10.625" style="7" customWidth="1"/>
    <col min="36" max="36" width="18.625" style="84" customWidth="1"/>
    <col min="37" max="37" width="10.625" style="7" customWidth="1"/>
    <col min="38" max="38" width="6.5" style="2" bestFit="1" customWidth="1"/>
    <col min="39" max="16384" width="8.625" style="2"/>
  </cols>
  <sheetData>
    <row r="1" spans="1:37" ht="18" customHeight="1" thickBot="1">
      <c r="C1" s="227">
        <v>45961</v>
      </c>
      <c r="D1" s="227"/>
      <c r="E1" s="227"/>
      <c r="F1" s="227"/>
      <c r="G1" s="34"/>
      <c r="H1" s="2" t="s">
        <v>4</v>
      </c>
      <c r="J1" s="3"/>
      <c r="K1" s="2" t="s">
        <v>1</v>
      </c>
      <c r="M1" s="4"/>
      <c r="N1" s="2" t="s">
        <v>2</v>
      </c>
      <c r="P1" s="5"/>
      <c r="Q1" s="6" t="s">
        <v>7</v>
      </c>
    </row>
    <row r="2" spans="1:37" s="1" customFormat="1" ht="29.1" customHeight="1">
      <c r="A2" s="219" t="s">
        <v>0</v>
      </c>
      <c r="B2" s="220"/>
      <c r="C2" s="8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10">
        <v>23</v>
      </c>
      <c r="Z2" s="9">
        <v>24</v>
      </c>
      <c r="AA2" s="9">
        <v>25</v>
      </c>
      <c r="AB2" s="9">
        <v>26</v>
      </c>
      <c r="AC2" s="9">
        <v>27</v>
      </c>
      <c r="AD2" s="9">
        <v>28</v>
      </c>
      <c r="AE2" s="9">
        <v>29</v>
      </c>
      <c r="AF2" s="9">
        <v>30</v>
      </c>
      <c r="AG2" s="10">
        <v>31</v>
      </c>
      <c r="AH2" s="223" t="s">
        <v>18</v>
      </c>
      <c r="AI2" s="223" t="s">
        <v>20</v>
      </c>
      <c r="AJ2" s="230" t="s">
        <v>36</v>
      </c>
      <c r="AK2" s="53"/>
    </row>
    <row r="3" spans="1:37" s="1" customFormat="1" ht="29.1" customHeight="1" thickBot="1">
      <c r="A3" s="221"/>
      <c r="B3" s="222"/>
      <c r="C3" s="11" t="s">
        <v>9</v>
      </c>
      <c r="D3" s="12" t="s">
        <v>11</v>
      </c>
      <c r="E3" s="12" t="s">
        <v>13</v>
      </c>
      <c r="F3" s="12" t="s">
        <v>14</v>
      </c>
      <c r="G3" s="12" t="s">
        <v>15</v>
      </c>
      <c r="H3" s="12" t="s">
        <v>16</v>
      </c>
      <c r="I3" s="12" t="s">
        <v>17</v>
      </c>
      <c r="J3" s="12" t="s">
        <v>8</v>
      </c>
      <c r="K3" s="12" t="s">
        <v>10</v>
      </c>
      <c r="L3" s="12" t="s">
        <v>12</v>
      </c>
      <c r="M3" s="12" t="s">
        <v>14</v>
      </c>
      <c r="N3" s="12" t="s">
        <v>15</v>
      </c>
      <c r="O3" s="12" t="s">
        <v>16</v>
      </c>
      <c r="P3" s="12" t="s">
        <v>17</v>
      </c>
      <c r="Q3" s="12" t="s">
        <v>8</v>
      </c>
      <c r="R3" s="12" t="s">
        <v>10</v>
      </c>
      <c r="S3" s="12" t="s">
        <v>12</v>
      </c>
      <c r="T3" s="12" t="s">
        <v>14</v>
      </c>
      <c r="U3" s="12" t="s">
        <v>15</v>
      </c>
      <c r="V3" s="12" t="s">
        <v>16</v>
      </c>
      <c r="W3" s="12" t="s">
        <v>17</v>
      </c>
      <c r="X3" s="12" t="s">
        <v>8</v>
      </c>
      <c r="Y3" s="13" t="s">
        <v>10</v>
      </c>
      <c r="Z3" s="12" t="s">
        <v>12</v>
      </c>
      <c r="AA3" s="12" t="s">
        <v>14</v>
      </c>
      <c r="AB3" s="12" t="s">
        <v>15</v>
      </c>
      <c r="AC3" s="12" t="s">
        <v>16</v>
      </c>
      <c r="AD3" s="12" t="s">
        <v>17</v>
      </c>
      <c r="AE3" s="12" t="s">
        <v>8</v>
      </c>
      <c r="AF3" s="12" t="s">
        <v>10</v>
      </c>
      <c r="AG3" s="13" t="s">
        <v>13</v>
      </c>
      <c r="AH3" s="224"/>
      <c r="AI3" s="224"/>
      <c r="AJ3" s="232"/>
      <c r="AK3" s="54"/>
    </row>
    <row r="4" spans="1:37" ht="29.1" customHeight="1">
      <c r="A4" s="68">
        <v>101</v>
      </c>
      <c r="B4" s="69" t="s">
        <v>21</v>
      </c>
      <c r="C4" s="42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4" t="s">
        <v>23</v>
      </c>
      <c r="Z4" s="44"/>
      <c r="AA4" s="44"/>
      <c r="AB4" s="44"/>
      <c r="AC4" s="44" t="s">
        <v>3</v>
      </c>
      <c r="AD4" s="43"/>
      <c r="AE4" s="114" t="s">
        <v>6</v>
      </c>
      <c r="AF4" s="114"/>
      <c r="AG4" s="115"/>
      <c r="AH4" s="16">
        <f>IF(B4&lt;&gt;"",CountColorCells(C4:AG4))-COUNTIF(C4:AG4,"退房")</f>
        <v>7</v>
      </c>
      <c r="AI4" s="17">
        <f>AH4/31</f>
        <v>0.22580645161290322</v>
      </c>
      <c r="AJ4" s="85">
        <f t="shared" ref="AJ4:AJ9" si="0">COUNTIF(C4:AG4,"*退房*")</f>
        <v>1</v>
      </c>
      <c r="AK4" s="55"/>
    </row>
    <row r="5" spans="1:37" ht="29.1" customHeight="1">
      <c r="A5" s="23">
        <v>102</v>
      </c>
      <c r="B5" s="19" t="s">
        <v>5</v>
      </c>
      <c r="C5" s="45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21">
        <f>IF(B5&lt;&gt;"",CountColorCells(C5:AG5))-COUNTIF(C5:AG5,"退房")</f>
        <v>0</v>
      </c>
      <c r="AI5" s="22">
        <f t="shared" ref="AI5" si="1">AH5/31</f>
        <v>0</v>
      </c>
      <c r="AJ5" s="86">
        <f t="shared" si="0"/>
        <v>0</v>
      </c>
      <c r="AK5" s="55"/>
    </row>
    <row r="6" spans="1:37" ht="29.1" customHeight="1">
      <c r="A6" s="18">
        <v>201</v>
      </c>
      <c r="B6" s="19" t="s">
        <v>21</v>
      </c>
      <c r="C6" s="45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65" t="s">
        <v>39</v>
      </c>
      <c r="Y6" s="48"/>
      <c r="Z6" s="39"/>
      <c r="AA6" s="39"/>
      <c r="AB6" s="39"/>
      <c r="AC6" s="82" t="s">
        <v>25</v>
      </c>
      <c r="AD6" s="39"/>
      <c r="AE6" s="39"/>
      <c r="AF6" s="39"/>
      <c r="AG6" s="48"/>
      <c r="AH6" s="21">
        <f>IF(B6&lt;&gt;"",CountColorCells(C6:AG6))-COUNTIF(C6:AG6,"退房")</f>
        <v>10</v>
      </c>
      <c r="AI6" s="22">
        <f t="shared" ref="AI6:AI9" si="2">AH6/31</f>
        <v>0.32258064516129031</v>
      </c>
      <c r="AJ6" s="86">
        <f t="shared" si="0"/>
        <v>1</v>
      </c>
      <c r="AK6" s="55"/>
    </row>
    <row r="7" spans="1:37" ht="29.1" customHeight="1">
      <c r="A7" s="23">
        <v>202</v>
      </c>
      <c r="B7" s="19" t="s">
        <v>5</v>
      </c>
      <c r="C7" s="45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113" t="s">
        <v>6</v>
      </c>
      <c r="Y7" s="110"/>
      <c r="Z7" s="110"/>
      <c r="AA7" s="110"/>
      <c r="AB7" s="110"/>
      <c r="AC7" s="110"/>
      <c r="AD7" s="110"/>
      <c r="AE7" s="110"/>
      <c r="AF7" s="110"/>
      <c r="AG7" s="113"/>
      <c r="AH7" s="21">
        <f>IF(B7&lt;&gt;"",CountColorCells(C7:AG7))-COUNTIF(C7:AG7,"退房")</f>
        <v>10</v>
      </c>
      <c r="AI7" s="22">
        <f t="shared" si="2"/>
        <v>0.32258064516129031</v>
      </c>
      <c r="AJ7" s="86">
        <f t="shared" si="0"/>
        <v>0</v>
      </c>
      <c r="AK7" s="55"/>
    </row>
    <row r="8" spans="1:37" ht="29.1" customHeight="1">
      <c r="A8" s="18">
        <v>301</v>
      </c>
      <c r="B8" s="19" t="s">
        <v>21</v>
      </c>
      <c r="C8" s="45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46"/>
      <c r="Z8" s="37"/>
      <c r="AA8" s="47" t="s">
        <v>23</v>
      </c>
      <c r="AB8" s="47" t="s">
        <v>22</v>
      </c>
      <c r="AC8" s="37"/>
      <c r="AD8" s="37"/>
      <c r="AE8" s="37"/>
      <c r="AF8" s="37"/>
      <c r="AG8" s="48" t="s">
        <v>23</v>
      </c>
      <c r="AH8" s="21">
        <f>IF(B8&lt;&gt;"",CountColorCells(C8:AG8))-COUNTIF(C8:AG8,"退房")</f>
        <v>2</v>
      </c>
      <c r="AI8" s="22">
        <f t="shared" si="2"/>
        <v>6.4516129032258063E-2</v>
      </c>
      <c r="AJ8" s="86">
        <f t="shared" si="0"/>
        <v>1</v>
      </c>
      <c r="AK8" s="55"/>
    </row>
    <row r="9" spans="1:37" ht="29.1" customHeight="1" thickBot="1">
      <c r="A9" s="24">
        <v>302</v>
      </c>
      <c r="B9" s="25" t="s">
        <v>5</v>
      </c>
      <c r="C9" s="49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52"/>
      <c r="Z9" s="41"/>
      <c r="AA9" s="41"/>
      <c r="AB9" s="41"/>
      <c r="AC9" s="41"/>
      <c r="AD9" s="40" t="s">
        <v>6</v>
      </c>
      <c r="AE9" s="40"/>
      <c r="AF9" s="40"/>
      <c r="AG9" s="50"/>
      <c r="AH9" s="26">
        <f>IF(B9&lt;&gt;"",CountColorCells(C9:AG9))-COUNTIF(C9:AG9,"退房")</f>
        <v>4</v>
      </c>
      <c r="AI9" s="27">
        <f t="shared" si="2"/>
        <v>0.12903225806451613</v>
      </c>
      <c r="AJ9" s="87">
        <f t="shared" si="0"/>
        <v>0</v>
      </c>
      <c r="AK9" s="55"/>
    </row>
    <row r="10" spans="1:37" ht="29.1" customHeight="1">
      <c r="AH10" s="98">
        <f>SUM(AH4:AH9)</f>
        <v>33</v>
      </c>
      <c r="AI10" s="99">
        <f>AVERAGE(AI4:AI9)</f>
        <v>0.17741935483870966</v>
      </c>
    </row>
    <row r="11" spans="1:37" ht="29.1" customHeight="1" thickBot="1">
      <c r="C11" s="227">
        <v>45991</v>
      </c>
      <c r="D11" s="227"/>
      <c r="E11" s="227"/>
      <c r="F11" s="227"/>
      <c r="G11" s="34"/>
      <c r="H11" s="1" t="s">
        <v>4</v>
      </c>
      <c r="I11" s="1"/>
      <c r="J11" s="72"/>
      <c r="K11" s="1" t="s">
        <v>1</v>
      </c>
      <c r="L11" s="1"/>
      <c r="M11" s="73"/>
      <c r="N11" s="1" t="s">
        <v>2</v>
      </c>
      <c r="O11" s="1"/>
      <c r="P11" s="74"/>
      <c r="Q11" s="75" t="s">
        <v>7</v>
      </c>
    </row>
    <row r="12" spans="1:37" s="1" customFormat="1" ht="29.1" customHeight="1">
      <c r="A12" s="219" t="s">
        <v>0</v>
      </c>
      <c r="B12" s="220"/>
      <c r="C12" s="8">
        <v>1</v>
      </c>
      <c r="D12" s="9">
        <v>2</v>
      </c>
      <c r="E12" s="9">
        <v>3</v>
      </c>
      <c r="F12" s="9">
        <v>4</v>
      </c>
      <c r="G12" s="9">
        <v>5</v>
      </c>
      <c r="H12" s="9">
        <v>6</v>
      </c>
      <c r="I12" s="9">
        <v>7</v>
      </c>
      <c r="J12" s="9">
        <v>8</v>
      </c>
      <c r="K12" s="9">
        <v>9</v>
      </c>
      <c r="L12" s="9">
        <v>10</v>
      </c>
      <c r="M12" s="9">
        <v>11</v>
      </c>
      <c r="N12" s="9">
        <v>12</v>
      </c>
      <c r="O12" s="9">
        <v>13</v>
      </c>
      <c r="P12" s="9">
        <v>14</v>
      </c>
      <c r="Q12" s="9">
        <v>15</v>
      </c>
      <c r="R12" s="9">
        <v>16</v>
      </c>
      <c r="S12" s="9">
        <v>17</v>
      </c>
      <c r="T12" s="9">
        <v>18</v>
      </c>
      <c r="U12" s="9">
        <v>19</v>
      </c>
      <c r="V12" s="9">
        <v>20</v>
      </c>
      <c r="W12" s="9">
        <v>21</v>
      </c>
      <c r="X12" s="9">
        <v>22</v>
      </c>
      <c r="Y12" s="10">
        <v>23</v>
      </c>
      <c r="Z12" s="9">
        <v>24</v>
      </c>
      <c r="AA12" s="9">
        <v>25</v>
      </c>
      <c r="AB12" s="9">
        <v>26</v>
      </c>
      <c r="AC12" s="9">
        <v>27</v>
      </c>
      <c r="AD12" s="9">
        <v>28</v>
      </c>
      <c r="AE12" s="9">
        <v>29</v>
      </c>
      <c r="AF12" s="9">
        <v>30</v>
      </c>
      <c r="AG12" s="28"/>
      <c r="AH12" s="223" t="s">
        <v>18</v>
      </c>
      <c r="AI12" s="233" t="s">
        <v>20</v>
      </c>
      <c r="AJ12" s="230" t="s">
        <v>36</v>
      </c>
      <c r="AK12" s="53"/>
    </row>
    <row r="13" spans="1:37" s="1" customFormat="1" ht="29.1" customHeight="1" thickBot="1">
      <c r="A13" s="221"/>
      <c r="B13" s="222"/>
      <c r="C13" s="33" t="s">
        <v>14</v>
      </c>
      <c r="D13" s="31" t="s">
        <v>15</v>
      </c>
      <c r="E13" s="31" t="s">
        <v>16</v>
      </c>
      <c r="F13" s="31" t="s">
        <v>17</v>
      </c>
      <c r="G13" s="31" t="s">
        <v>8</v>
      </c>
      <c r="H13" s="31" t="s">
        <v>10</v>
      </c>
      <c r="I13" s="31" t="s">
        <v>12</v>
      </c>
      <c r="J13" s="31" t="s">
        <v>14</v>
      </c>
      <c r="K13" s="31" t="s">
        <v>15</v>
      </c>
      <c r="L13" s="31" t="s">
        <v>16</v>
      </c>
      <c r="M13" s="31" t="s">
        <v>17</v>
      </c>
      <c r="N13" s="31" t="s">
        <v>8</v>
      </c>
      <c r="O13" s="31" t="s">
        <v>10</v>
      </c>
      <c r="P13" s="31" t="s">
        <v>12</v>
      </c>
      <c r="Q13" s="31" t="s">
        <v>14</v>
      </c>
      <c r="R13" s="31" t="s">
        <v>15</v>
      </c>
      <c r="S13" s="31" t="s">
        <v>16</v>
      </c>
      <c r="T13" s="31" t="s">
        <v>17</v>
      </c>
      <c r="U13" s="31" t="s">
        <v>8</v>
      </c>
      <c r="V13" s="31" t="s">
        <v>10</v>
      </c>
      <c r="W13" s="31" t="s">
        <v>12</v>
      </c>
      <c r="X13" s="31" t="s">
        <v>14</v>
      </c>
      <c r="Y13" s="60" t="s">
        <v>15</v>
      </c>
      <c r="Z13" s="31" t="s">
        <v>16</v>
      </c>
      <c r="AA13" s="31" t="s">
        <v>17</v>
      </c>
      <c r="AB13" s="31" t="s">
        <v>8</v>
      </c>
      <c r="AC13" s="31" t="s">
        <v>10</v>
      </c>
      <c r="AD13" s="31" t="s">
        <v>12</v>
      </c>
      <c r="AE13" s="31" t="s">
        <v>14</v>
      </c>
      <c r="AF13" s="31" t="s">
        <v>19</v>
      </c>
      <c r="AG13" s="25"/>
      <c r="AH13" s="224"/>
      <c r="AI13" s="234"/>
      <c r="AJ13" s="232"/>
      <c r="AK13" s="54"/>
    </row>
    <row r="14" spans="1:37" ht="29.1" customHeight="1">
      <c r="A14" s="68">
        <v>101</v>
      </c>
      <c r="B14" s="69" t="s">
        <v>21</v>
      </c>
      <c r="C14" s="112"/>
      <c r="D14" s="110"/>
      <c r="E14" s="110"/>
      <c r="F14" s="82" t="s">
        <v>25</v>
      </c>
      <c r="G14" s="39"/>
      <c r="H14" s="39"/>
      <c r="I14" s="39"/>
      <c r="J14" s="39"/>
      <c r="K14" s="39"/>
      <c r="L14" s="39" t="s">
        <v>29</v>
      </c>
      <c r="M14" s="37"/>
      <c r="N14" s="37"/>
      <c r="O14" s="37"/>
      <c r="P14" s="39" t="s">
        <v>23</v>
      </c>
      <c r="Q14" s="39"/>
      <c r="R14" s="39"/>
      <c r="S14" s="39"/>
      <c r="T14" s="39"/>
      <c r="U14" s="39"/>
      <c r="V14" s="109" t="s">
        <v>25</v>
      </c>
      <c r="W14" s="110"/>
      <c r="X14" s="110"/>
      <c r="Y14" s="110"/>
      <c r="Z14" s="111" t="s">
        <v>28</v>
      </c>
      <c r="AA14" s="110" t="s">
        <v>27</v>
      </c>
      <c r="AB14" s="110"/>
      <c r="AC14" s="110"/>
      <c r="AD14" s="110" t="s">
        <v>28</v>
      </c>
      <c r="AE14" s="37"/>
      <c r="AF14" s="37"/>
      <c r="AG14" s="38"/>
      <c r="AH14" s="16">
        <f>IF(B14&lt;&gt;"",CountColorCells(C14:AG14))-COUNTIF(C14:AG14,"退房")</f>
        <v>22</v>
      </c>
      <c r="AI14" s="17">
        <f>AH14/30</f>
        <v>0.73333333333333328</v>
      </c>
      <c r="AJ14" s="88" t="str">
        <f>COUNTIF(C14:AG14,"*退房*")-1&amp;"回
※24日免清扫"</f>
        <v>4回
※24日免清扫</v>
      </c>
      <c r="AK14" s="55"/>
    </row>
    <row r="15" spans="1:37" ht="29.1" customHeight="1">
      <c r="A15" s="23">
        <v>102</v>
      </c>
      <c r="B15" s="19" t="s">
        <v>5</v>
      </c>
      <c r="C15" s="45"/>
      <c r="D15" s="37"/>
      <c r="E15" s="37"/>
      <c r="F15" s="37"/>
      <c r="G15" s="37"/>
      <c r="H15" s="37"/>
      <c r="I15" s="37"/>
      <c r="J15" s="37"/>
      <c r="K15" s="37"/>
      <c r="L15" s="109" t="s">
        <v>33</v>
      </c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09" t="s">
        <v>25</v>
      </c>
      <c r="X15" s="110"/>
      <c r="Y15" s="110"/>
      <c r="Z15" s="110" t="s">
        <v>3</v>
      </c>
      <c r="AA15" s="37"/>
      <c r="AB15" s="37"/>
      <c r="AC15" s="37"/>
      <c r="AD15" s="37"/>
      <c r="AE15" s="37"/>
      <c r="AF15" s="37"/>
      <c r="AG15" s="37"/>
      <c r="AH15" s="21">
        <f>IF(B15&lt;&gt;"",CountColorCells(C15:AG15))-COUNTIF(C15:AG15,"退房")</f>
        <v>14</v>
      </c>
      <c r="AI15" s="22">
        <f t="shared" ref="AI15" si="3">AH15/31</f>
        <v>0.45161290322580644</v>
      </c>
      <c r="AJ15" s="86">
        <f t="shared" ref="AJ15:AJ19" si="4">COUNTIF(C15:AG15,"*退房*")</f>
        <v>2</v>
      </c>
      <c r="AK15" s="55"/>
    </row>
    <row r="16" spans="1:37" ht="29.1" customHeight="1">
      <c r="A16" s="18">
        <v>201</v>
      </c>
      <c r="B16" s="19" t="s">
        <v>21</v>
      </c>
      <c r="C16" s="66"/>
      <c r="D16" s="39" t="s">
        <v>3</v>
      </c>
      <c r="E16" s="37"/>
      <c r="F16" s="37"/>
      <c r="H16" s="37"/>
      <c r="I16" s="39" t="s">
        <v>6</v>
      </c>
      <c r="J16" s="39"/>
      <c r="K16" s="39"/>
      <c r="L16" s="39" t="s">
        <v>3</v>
      </c>
      <c r="M16" s="37"/>
      <c r="N16" s="37"/>
      <c r="O16" s="37"/>
      <c r="P16" s="37"/>
      <c r="Q16" s="37"/>
      <c r="R16" s="37"/>
      <c r="S16" s="37"/>
      <c r="T16" s="37"/>
      <c r="U16" s="39" t="s">
        <v>30</v>
      </c>
      <c r="V16" s="39"/>
      <c r="W16" s="39"/>
      <c r="X16" s="39"/>
      <c r="Y16" s="83" t="s">
        <v>37</v>
      </c>
      <c r="Z16" s="39"/>
      <c r="AA16" s="39"/>
      <c r="AB16" s="39"/>
      <c r="AC16" s="39" t="s">
        <v>31</v>
      </c>
      <c r="AD16" s="37"/>
      <c r="AE16" s="37"/>
      <c r="AF16" s="37"/>
      <c r="AG16" s="38"/>
      <c r="AH16" s="21">
        <f>IF(B16&lt;&gt;"",CountColorCells(C16:AG16))-COUNTIF(C16:AG16,"退房")</f>
        <v>12</v>
      </c>
      <c r="AI16" s="22">
        <f t="shared" ref="AI16:AI19" si="5">AH16/30</f>
        <v>0.4</v>
      </c>
      <c r="AJ16" s="89" t="str">
        <f>COUNTIF(C16:AG16,"*退房*")&amp;"回+3000"</f>
        <v>3回+3000</v>
      </c>
      <c r="AK16" s="55"/>
    </row>
    <row r="17" spans="1:37" ht="29.1" customHeight="1">
      <c r="A17" s="23">
        <v>202</v>
      </c>
      <c r="B17" s="19" t="s">
        <v>5</v>
      </c>
      <c r="C17" s="112"/>
      <c r="D17" s="110" t="s">
        <v>24</v>
      </c>
      <c r="E17" s="37"/>
      <c r="F17" s="37"/>
      <c r="G17" s="37"/>
      <c r="H17" s="37"/>
      <c r="I17" s="110" t="s">
        <v>6</v>
      </c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7" t="s">
        <v>25</v>
      </c>
      <c r="X17" s="47"/>
      <c r="Y17" s="76"/>
      <c r="Z17" s="47" t="s">
        <v>29</v>
      </c>
      <c r="AA17" s="37"/>
      <c r="AB17" s="37"/>
      <c r="AC17" s="37"/>
      <c r="AD17" s="110" t="s">
        <v>6</v>
      </c>
      <c r="AE17" s="110"/>
      <c r="AF17" s="110"/>
      <c r="AG17" s="38"/>
      <c r="AH17" s="21">
        <f>IF(B17&lt;&gt;"",CountColorCells(C17:AG17))-COUNTIF(C17:AG17,"退房")</f>
        <v>21</v>
      </c>
      <c r="AI17" s="22">
        <f t="shared" si="5"/>
        <v>0.7</v>
      </c>
      <c r="AJ17" s="86">
        <f t="shared" si="4"/>
        <v>3</v>
      </c>
      <c r="AK17" s="55"/>
    </row>
    <row r="18" spans="1:37" ht="29.1" customHeight="1">
      <c r="A18" s="18">
        <v>301</v>
      </c>
      <c r="B18" s="19" t="s">
        <v>21</v>
      </c>
      <c r="C18" s="66"/>
      <c r="D18" s="39"/>
      <c r="E18" s="65" t="s">
        <v>34</v>
      </c>
      <c r="F18" s="37"/>
      <c r="G18" s="37"/>
      <c r="H18" s="37"/>
      <c r="I18" s="37"/>
      <c r="J18" s="39" t="s">
        <v>6</v>
      </c>
      <c r="K18" s="39" t="s">
        <v>3</v>
      </c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65" t="s">
        <v>32</v>
      </c>
      <c r="X18" s="39"/>
      <c r="Y18" s="48"/>
      <c r="Z18" s="39" t="s">
        <v>3</v>
      </c>
      <c r="AA18" s="78"/>
      <c r="AB18" s="78"/>
      <c r="AC18" s="78"/>
      <c r="AD18" s="78"/>
      <c r="AE18" s="37"/>
      <c r="AF18" s="37"/>
      <c r="AG18" s="38"/>
      <c r="AH18" s="21">
        <f>IF(B18&lt;&gt;"",CountColorCells(C18:AG18))-COUNTIF(C18:AG18,"退房")</f>
        <v>6</v>
      </c>
      <c r="AI18" s="22">
        <f t="shared" si="5"/>
        <v>0.2</v>
      </c>
      <c r="AJ18" s="86">
        <f t="shared" si="4"/>
        <v>3</v>
      </c>
      <c r="AK18" s="55"/>
    </row>
    <row r="19" spans="1:37" ht="29.1" customHeight="1" thickBot="1">
      <c r="A19" s="24">
        <v>302</v>
      </c>
      <c r="B19" s="25" t="s">
        <v>5</v>
      </c>
      <c r="C19" s="67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116" t="s">
        <v>25</v>
      </c>
      <c r="R19" s="40"/>
      <c r="S19" s="40"/>
      <c r="T19" s="40"/>
      <c r="U19" s="40"/>
      <c r="V19" s="40"/>
      <c r="W19" s="118" t="s">
        <v>25</v>
      </c>
      <c r="X19" s="81"/>
      <c r="Y19" s="64"/>
      <c r="Z19" s="63" t="s">
        <v>22</v>
      </c>
      <c r="AA19" s="41"/>
      <c r="AB19" s="41"/>
      <c r="AC19" s="90" t="s">
        <v>6</v>
      </c>
      <c r="AD19" s="90"/>
      <c r="AE19" s="91" t="s">
        <v>25</v>
      </c>
      <c r="AF19" s="40"/>
      <c r="AG19" s="92"/>
      <c r="AH19" s="26">
        <f>IF(B19&lt;&gt;"",CountColorCells(C19:AG19))-COUNTIF(C19:AG19,"退房")</f>
        <v>28</v>
      </c>
      <c r="AI19" s="27">
        <f t="shared" si="5"/>
        <v>0.93333333333333335</v>
      </c>
      <c r="AJ19" s="87">
        <f t="shared" si="4"/>
        <v>4</v>
      </c>
      <c r="AK19" s="55"/>
    </row>
    <row r="20" spans="1:37" ht="29.1" customHeight="1">
      <c r="AH20" s="98">
        <f>SUM(AH14:AH19)</f>
        <v>103</v>
      </c>
      <c r="AI20" s="99">
        <f>AVERAGE(AI14:AI19)</f>
        <v>0.56971326164874558</v>
      </c>
    </row>
    <row r="21" spans="1:37" ht="29.1" customHeight="1" thickBot="1">
      <c r="C21" s="227">
        <v>46022</v>
      </c>
      <c r="D21" s="227"/>
      <c r="E21" s="227"/>
      <c r="F21" s="227"/>
      <c r="G21" s="34"/>
      <c r="H21" s="2" t="s">
        <v>4</v>
      </c>
      <c r="J21" s="3"/>
      <c r="K21" s="2" t="s">
        <v>1</v>
      </c>
      <c r="M21" s="4"/>
      <c r="N21" s="2" t="s">
        <v>2</v>
      </c>
      <c r="P21" s="5"/>
      <c r="Q21" s="6" t="s">
        <v>7</v>
      </c>
      <c r="AG21" s="2" t="s">
        <v>26</v>
      </c>
    </row>
    <row r="22" spans="1:37" s="1" customFormat="1" ht="29.1" customHeight="1">
      <c r="A22" s="219" t="s">
        <v>0</v>
      </c>
      <c r="B22" s="220"/>
      <c r="C22" s="8">
        <v>1</v>
      </c>
      <c r="D22" s="9">
        <v>2</v>
      </c>
      <c r="E22" s="9">
        <v>3</v>
      </c>
      <c r="F22" s="9">
        <v>4</v>
      </c>
      <c r="G22" s="9">
        <v>5</v>
      </c>
      <c r="H22" s="9">
        <v>6</v>
      </c>
      <c r="I22" s="9">
        <v>7</v>
      </c>
      <c r="J22" s="9">
        <v>8</v>
      </c>
      <c r="K22" s="9">
        <v>9</v>
      </c>
      <c r="L22" s="9">
        <v>10</v>
      </c>
      <c r="M22" s="9">
        <v>11</v>
      </c>
      <c r="N22" s="9">
        <v>12</v>
      </c>
      <c r="O22" s="9">
        <v>13</v>
      </c>
      <c r="P22" s="9">
        <v>14</v>
      </c>
      <c r="Q22" s="9">
        <v>15</v>
      </c>
      <c r="R22" s="9">
        <v>16</v>
      </c>
      <c r="S22" s="9">
        <v>17</v>
      </c>
      <c r="T22" s="9">
        <v>18</v>
      </c>
      <c r="U22" s="9">
        <v>19</v>
      </c>
      <c r="V22" s="9">
        <v>20</v>
      </c>
      <c r="W22" s="9">
        <v>21</v>
      </c>
      <c r="X22" s="9">
        <v>22</v>
      </c>
      <c r="Y22" s="10">
        <v>23</v>
      </c>
      <c r="Z22" s="9">
        <v>24</v>
      </c>
      <c r="AA22" s="9">
        <v>25</v>
      </c>
      <c r="AB22" s="9">
        <v>26</v>
      </c>
      <c r="AC22" s="9">
        <v>27</v>
      </c>
      <c r="AD22" s="9">
        <v>28</v>
      </c>
      <c r="AE22" s="9">
        <v>29</v>
      </c>
      <c r="AF22" s="9">
        <v>30</v>
      </c>
      <c r="AG22" s="28">
        <v>31</v>
      </c>
      <c r="AH22" s="223" t="s">
        <v>18</v>
      </c>
      <c r="AI22" s="223" t="s">
        <v>20</v>
      </c>
      <c r="AJ22" s="230" t="s">
        <v>36</v>
      </c>
      <c r="AK22" s="53"/>
    </row>
    <row r="23" spans="1:37" s="1" customFormat="1" ht="29.1" customHeight="1" thickBot="1">
      <c r="A23" s="221"/>
      <c r="B23" s="222"/>
      <c r="C23" s="11" t="s">
        <v>16</v>
      </c>
      <c r="D23" s="12" t="s">
        <v>17</v>
      </c>
      <c r="E23" s="12" t="s">
        <v>8</v>
      </c>
      <c r="F23" s="12" t="s">
        <v>10</v>
      </c>
      <c r="G23" s="12" t="s">
        <v>12</v>
      </c>
      <c r="H23" s="12" t="s">
        <v>14</v>
      </c>
      <c r="I23" s="12" t="s">
        <v>15</v>
      </c>
      <c r="J23" s="12" t="s">
        <v>16</v>
      </c>
      <c r="K23" s="12" t="s">
        <v>17</v>
      </c>
      <c r="L23" s="12" t="s">
        <v>8</v>
      </c>
      <c r="M23" s="12" t="s">
        <v>10</v>
      </c>
      <c r="N23" s="12" t="s">
        <v>12</v>
      </c>
      <c r="O23" s="12" t="s">
        <v>14</v>
      </c>
      <c r="P23" s="12" t="s">
        <v>15</v>
      </c>
      <c r="Q23" s="12" t="s">
        <v>16</v>
      </c>
      <c r="R23" s="12" t="s">
        <v>17</v>
      </c>
      <c r="S23" s="12" t="s">
        <v>8</v>
      </c>
      <c r="T23" s="12" t="s">
        <v>10</v>
      </c>
      <c r="U23" s="12" t="s">
        <v>12</v>
      </c>
      <c r="V23" s="12" t="s">
        <v>14</v>
      </c>
      <c r="W23" s="12" t="s">
        <v>15</v>
      </c>
      <c r="X23" s="12" t="s">
        <v>16</v>
      </c>
      <c r="Y23" s="13" t="s">
        <v>17</v>
      </c>
      <c r="Z23" s="12" t="s">
        <v>8</v>
      </c>
      <c r="AA23" s="12" t="s">
        <v>10</v>
      </c>
      <c r="AB23" s="12" t="s">
        <v>12</v>
      </c>
      <c r="AC23" s="12" t="s">
        <v>14</v>
      </c>
      <c r="AD23" s="12" t="s">
        <v>15</v>
      </c>
      <c r="AE23" s="12" t="s">
        <v>16</v>
      </c>
      <c r="AF23" s="12" t="s">
        <v>17</v>
      </c>
      <c r="AG23" s="29" t="s">
        <v>8</v>
      </c>
      <c r="AH23" s="224"/>
      <c r="AI23" s="224"/>
      <c r="AJ23" s="232"/>
      <c r="AK23" s="54"/>
    </row>
    <row r="24" spans="1:37" ht="29.1" customHeight="1">
      <c r="A24" s="14">
        <v>101</v>
      </c>
      <c r="B24" s="19" t="s">
        <v>21</v>
      </c>
      <c r="C24" s="70"/>
      <c r="D24" s="30"/>
      <c r="E24" s="30"/>
      <c r="F24" s="30"/>
      <c r="G24" s="20"/>
      <c r="H24" s="20"/>
      <c r="I24" s="20"/>
      <c r="J24" s="20"/>
      <c r="K24" s="20"/>
      <c r="L24" s="20"/>
      <c r="M24" s="20"/>
      <c r="N24" s="20"/>
      <c r="O24" s="108" t="s">
        <v>6</v>
      </c>
      <c r="P24" s="108" t="s">
        <v>3</v>
      </c>
      <c r="Q24" s="20"/>
      <c r="R24" s="20"/>
      <c r="S24" s="20"/>
      <c r="T24" s="20"/>
      <c r="U24" s="20"/>
      <c r="V24" s="20"/>
      <c r="W24" s="20"/>
      <c r="X24" s="20"/>
      <c r="Y24" s="61"/>
      <c r="Z24" s="20"/>
      <c r="AA24" s="20"/>
      <c r="AB24" s="62" t="s">
        <v>6</v>
      </c>
      <c r="AC24" s="62"/>
      <c r="AD24" s="62"/>
      <c r="AE24" s="62"/>
      <c r="AF24" s="62"/>
      <c r="AG24" s="102"/>
      <c r="AH24" s="16">
        <f>IF(B24&lt;&gt;"",CountColorCells(C24:AG24))-COUNTIF(C24:AG24,"退房")</f>
        <v>7</v>
      </c>
      <c r="AI24" s="17">
        <f>AH24/31</f>
        <v>0.22580645161290322</v>
      </c>
      <c r="AJ24" s="85">
        <f t="shared" ref="AJ24:AJ29" si="6">COUNTIF(C24:AG24,"*退房*")</f>
        <v>1</v>
      </c>
      <c r="AK24" s="55"/>
    </row>
    <row r="25" spans="1:37" ht="29.1" customHeight="1">
      <c r="A25" s="23">
        <v>102</v>
      </c>
      <c r="B25" s="19" t="s">
        <v>5</v>
      </c>
      <c r="C25" s="45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105"/>
      <c r="AA25" s="37"/>
      <c r="AB25" s="37"/>
      <c r="AC25" s="37"/>
      <c r="AD25" s="37"/>
      <c r="AE25" s="65" t="s">
        <v>6</v>
      </c>
      <c r="AF25" s="39"/>
      <c r="AG25" s="39"/>
      <c r="AH25" s="21">
        <f>IF(B25&lt;&gt;"",CountColorCells(C25:AG25))-COUNTIF(C25:AG25,"退房")</f>
        <v>3</v>
      </c>
      <c r="AI25" s="22">
        <f t="shared" ref="AI25" si="7">AH25/31</f>
        <v>9.6774193548387094E-2</v>
      </c>
      <c r="AJ25" s="86">
        <f t="shared" si="6"/>
        <v>0</v>
      </c>
      <c r="AK25" s="55"/>
    </row>
    <row r="26" spans="1:37" ht="29.1" customHeight="1">
      <c r="A26" s="18">
        <v>201</v>
      </c>
      <c r="B26" s="19" t="s">
        <v>21</v>
      </c>
      <c r="C26" s="71"/>
      <c r="D26" s="20"/>
      <c r="E26" s="20"/>
      <c r="F26" s="39" t="s">
        <v>6</v>
      </c>
      <c r="G26" s="39"/>
      <c r="H26" s="39"/>
      <c r="I26" s="39" t="s">
        <v>3</v>
      </c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61"/>
      <c r="Z26" s="20"/>
      <c r="AA26" s="20"/>
      <c r="AB26" s="20"/>
      <c r="AC26" s="62" t="s">
        <v>6</v>
      </c>
      <c r="AD26" s="62"/>
      <c r="AE26" s="62"/>
      <c r="AF26" s="119" t="s">
        <v>25</v>
      </c>
      <c r="AG26" s="120"/>
      <c r="AH26" s="21">
        <f>IF(B26&lt;&gt;"",CountColorCells(C26:AG26))-COUNTIF(C26:AG26,"退房")</f>
        <v>8</v>
      </c>
      <c r="AI26" s="22">
        <f t="shared" ref="AI26:AI29" si="8">AH26/31</f>
        <v>0.25806451612903225</v>
      </c>
      <c r="AJ26" s="86">
        <f t="shared" si="6"/>
        <v>2</v>
      </c>
      <c r="AK26" s="55"/>
    </row>
    <row r="27" spans="1:37" ht="29.1" customHeight="1">
      <c r="A27" s="23">
        <v>202</v>
      </c>
      <c r="B27" s="19" t="s">
        <v>5</v>
      </c>
      <c r="C27" s="79"/>
      <c r="D27" s="80"/>
      <c r="E27" s="80" t="s">
        <v>3</v>
      </c>
      <c r="F27" s="20"/>
      <c r="G27" s="20"/>
      <c r="H27" s="20"/>
      <c r="I27" s="20"/>
      <c r="J27" s="20"/>
      <c r="K27" s="20"/>
      <c r="L27" s="36" t="s">
        <v>6</v>
      </c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103"/>
      <c r="Z27" s="80"/>
      <c r="AA27" s="80"/>
      <c r="AB27" s="80"/>
      <c r="AC27" s="36" t="s">
        <v>3</v>
      </c>
      <c r="AD27" s="20"/>
      <c r="AE27" s="20"/>
      <c r="AF27" s="20"/>
      <c r="AG27" s="106" t="s">
        <v>42</v>
      </c>
      <c r="AH27" s="21">
        <f>IF(B27&lt;&gt;"",CountColorCells(C27:AG27))-COUNTIF(C27:AG27,"退房")</f>
        <v>20</v>
      </c>
      <c r="AI27" s="22">
        <f t="shared" si="8"/>
        <v>0.64516129032258063</v>
      </c>
      <c r="AJ27" s="86">
        <f t="shared" si="6"/>
        <v>2</v>
      </c>
      <c r="AK27" s="55"/>
    </row>
    <row r="28" spans="1:37" ht="29.1" customHeight="1">
      <c r="A28" s="18">
        <v>301</v>
      </c>
      <c r="B28" s="19" t="s">
        <v>21</v>
      </c>
      <c r="C28" s="45"/>
      <c r="D28" s="37"/>
      <c r="E28" s="77"/>
      <c r="F28" s="77"/>
      <c r="G28" s="77"/>
      <c r="H28" s="77"/>
      <c r="I28" s="77"/>
      <c r="J28" s="77"/>
      <c r="K28" s="121" t="s">
        <v>38</v>
      </c>
      <c r="L28" s="20"/>
      <c r="M28" s="20"/>
      <c r="N28" s="104" t="s">
        <v>6</v>
      </c>
      <c r="O28" s="104"/>
      <c r="P28" s="104"/>
      <c r="Q28" s="104"/>
      <c r="R28" s="104"/>
      <c r="S28" s="104"/>
      <c r="T28" s="104"/>
      <c r="U28" s="104"/>
      <c r="V28" s="104"/>
      <c r="W28" s="104" t="s">
        <v>3</v>
      </c>
      <c r="X28" s="20"/>
      <c r="Y28" s="61"/>
      <c r="Z28" s="62" t="s">
        <v>6</v>
      </c>
      <c r="AA28" s="62"/>
      <c r="AB28" s="62"/>
      <c r="AC28" s="62"/>
      <c r="AD28" s="62"/>
      <c r="AE28" s="62"/>
      <c r="AF28" s="62"/>
      <c r="AG28" s="102"/>
      <c r="AH28" s="21">
        <f>IF(B28&lt;&gt;"",CountColorCells(C28:AG28))-COUNTIF(C28:AG28,"退房")</f>
        <v>17</v>
      </c>
      <c r="AI28" s="22">
        <f t="shared" si="8"/>
        <v>0.54838709677419351</v>
      </c>
      <c r="AJ28" s="94" t="str">
        <f>COUNTIF(C28:AG28,"*退房*")+1&amp;"回
11/24清掃延期至12/9"</f>
        <v>2回
11/24清掃延期至12/9</v>
      </c>
      <c r="AK28" s="55"/>
    </row>
    <row r="29" spans="1:37" ht="29.1" customHeight="1" thickBot="1">
      <c r="A29" s="24">
        <v>302</v>
      </c>
      <c r="B29" s="25" t="s">
        <v>5</v>
      </c>
      <c r="C29" s="93"/>
      <c r="D29" s="90"/>
      <c r="E29" s="90"/>
      <c r="F29" s="90"/>
      <c r="G29" s="90"/>
      <c r="H29" s="90"/>
      <c r="I29" s="90"/>
      <c r="J29" s="90"/>
      <c r="K29" s="90" t="s">
        <v>3</v>
      </c>
      <c r="L29" s="32"/>
      <c r="M29" s="32"/>
      <c r="N29" s="32"/>
      <c r="O29" s="32"/>
      <c r="P29" s="35"/>
      <c r="Q29" s="35"/>
      <c r="R29" s="35"/>
      <c r="S29" s="35"/>
      <c r="T29" s="35"/>
      <c r="U29" s="35"/>
      <c r="V29" s="35"/>
      <c r="W29" s="35"/>
      <c r="X29" s="90" t="s">
        <v>6</v>
      </c>
      <c r="Y29" s="107"/>
      <c r="Z29" s="90"/>
      <c r="AA29" s="90"/>
      <c r="AB29" s="90"/>
      <c r="AC29" s="90"/>
      <c r="AD29" s="90"/>
      <c r="AE29" s="90" t="s">
        <v>3</v>
      </c>
      <c r="AF29" s="100" t="s">
        <v>6</v>
      </c>
      <c r="AG29" s="101"/>
      <c r="AH29" s="26">
        <f>IF(B29&lt;&gt;"",CountColorCells(C29:AG29))-COUNTIF(C29:AG29,"退房")</f>
        <v>17</v>
      </c>
      <c r="AI29" s="27">
        <f t="shared" si="8"/>
        <v>0.54838709677419351</v>
      </c>
      <c r="AJ29" s="87">
        <f t="shared" si="6"/>
        <v>2</v>
      </c>
      <c r="AK29" s="55"/>
    </row>
    <row r="30" spans="1:37" ht="24.6" customHeight="1">
      <c r="AH30" s="98">
        <f>SUM(AH24:AH29)</f>
        <v>72</v>
      </c>
      <c r="AI30" s="99">
        <f>AVERAGE(AI24:AI29)</f>
        <v>0.38709677419354832</v>
      </c>
    </row>
  </sheetData>
  <mergeCells count="15">
    <mergeCell ref="A22:B23"/>
    <mergeCell ref="AJ2:AJ3"/>
    <mergeCell ref="AJ12:AJ13"/>
    <mergeCell ref="AJ22:AJ23"/>
    <mergeCell ref="C1:F1"/>
    <mergeCell ref="C11:F11"/>
    <mergeCell ref="C21:F21"/>
    <mergeCell ref="A2:B3"/>
    <mergeCell ref="A12:B13"/>
    <mergeCell ref="AH2:AH3"/>
    <mergeCell ref="AH12:AH13"/>
    <mergeCell ref="AH22:AH23"/>
    <mergeCell ref="AI2:AI3"/>
    <mergeCell ref="AI12:AI13"/>
    <mergeCell ref="AI22:AI23"/>
  </mergeCells>
  <phoneticPr fontId="1"/>
  <printOptions horizontalCentered="1"/>
  <pageMargins left="0.39370078740157483" right="0.39370078740157483" top="0.39370078740157483" bottom="0.39370078740157483" header="0.31496062992125984" footer="0.31496062992125984"/>
  <pageSetup paperSize="9" scale="65" orientation="landscape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J120"/>
  <sheetViews>
    <sheetView tabSelected="1" view="pageBreakPreview" topLeftCell="A32" zoomScale="85" zoomScaleNormal="90" zoomScaleSheetLayoutView="85" workbookViewId="0">
      <selection activeCell="AC46" sqref="AC46"/>
    </sheetView>
  </sheetViews>
  <sheetFormatPr defaultColWidth="8.625" defaultRowHeight="29.1" customHeight="1"/>
  <cols>
    <col min="1" max="1" width="5.125" style="1" customWidth="1"/>
    <col min="2" max="2" width="9.875" style="1" customWidth="1"/>
    <col min="3" max="33" width="4.625" style="2" customWidth="1"/>
    <col min="34" max="34" width="10.625" style="7" customWidth="1"/>
    <col min="35" max="35" width="10.625" style="95" customWidth="1"/>
    <col min="36" max="36" width="18.625" style="56" customWidth="1"/>
    <col min="37" max="37" width="6.5" style="2" bestFit="1" customWidth="1"/>
    <col min="38" max="16384" width="8.625" style="2"/>
  </cols>
  <sheetData>
    <row r="1" spans="1:36" ht="29.1" customHeight="1" thickBot="1">
      <c r="C1" s="227">
        <v>46023</v>
      </c>
      <c r="D1" s="227"/>
      <c r="E1" s="227"/>
      <c r="F1" s="227"/>
      <c r="G1" s="34"/>
      <c r="H1" s="2" t="s">
        <v>4</v>
      </c>
      <c r="J1" s="3"/>
      <c r="K1" s="2" t="s">
        <v>1</v>
      </c>
      <c r="M1" s="4"/>
      <c r="N1" s="2" t="s">
        <v>2</v>
      </c>
      <c r="P1" s="5"/>
      <c r="Q1" s="6" t="s">
        <v>7</v>
      </c>
    </row>
    <row r="2" spans="1:36" s="1" customFormat="1" ht="29.1" customHeight="1">
      <c r="A2" s="219" t="s">
        <v>0</v>
      </c>
      <c r="B2" s="220"/>
      <c r="C2" s="128">
        <v>1</v>
      </c>
      <c r="D2" s="129">
        <v>2</v>
      </c>
      <c r="E2" s="130">
        <v>3</v>
      </c>
      <c r="F2" s="130">
        <v>4</v>
      </c>
      <c r="G2" s="129">
        <v>5</v>
      </c>
      <c r="H2" s="129">
        <v>6</v>
      </c>
      <c r="I2" s="129">
        <v>7</v>
      </c>
      <c r="J2" s="9">
        <v>8</v>
      </c>
      <c r="K2" s="9">
        <v>9</v>
      </c>
      <c r="L2" s="122">
        <v>10</v>
      </c>
      <c r="M2" s="122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122">
        <v>17</v>
      </c>
      <c r="T2" s="122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122">
        <v>24</v>
      </c>
      <c r="AA2" s="122">
        <v>25</v>
      </c>
      <c r="AB2" s="9">
        <v>26</v>
      </c>
      <c r="AC2" s="9">
        <v>27</v>
      </c>
      <c r="AD2" s="9">
        <v>28</v>
      </c>
      <c r="AE2" s="9">
        <v>29</v>
      </c>
      <c r="AF2" s="9">
        <v>30</v>
      </c>
      <c r="AG2" s="124">
        <v>31</v>
      </c>
      <c r="AH2" s="223" t="s">
        <v>18</v>
      </c>
      <c r="AI2" s="225" t="s">
        <v>20</v>
      </c>
      <c r="AJ2" s="230" t="s">
        <v>36</v>
      </c>
    </row>
    <row r="3" spans="1:36" s="1" customFormat="1" ht="29.1" customHeight="1" thickBot="1">
      <c r="A3" s="221"/>
      <c r="B3" s="222"/>
      <c r="C3" s="131" t="s">
        <v>11</v>
      </c>
      <c r="D3" s="132" t="s">
        <v>13</v>
      </c>
      <c r="E3" s="133" t="s">
        <v>14</v>
      </c>
      <c r="F3" s="133" t="s">
        <v>15</v>
      </c>
      <c r="G3" s="132" t="s">
        <v>16</v>
      </c>
      <c r="H3" s="132" t="s">
        <v>17</v>
      </c>
      <c r="I3" s="132" t="s">
        <v>8</v>
      </c>
      <c r="J3" s="12" t="s">
        <v>10</v>
      </c>
      <c r="K3" s="12" t="s">
        <v>12</v>
      </c>
      <c r="L3" s="125" t="s">
        <v>14</v>
      </c>
      <c r="M3" s="125" t="s">
        <v>15</v>
      </c>
      <c r="N3" s="12" t="s">
        <v>16</v>
      </c>
      <c r="O3" s="12" t="s">
        <v>17</v>
      </c>
      <c r="P3" s="12" t="s">
        <v>8</v>
      </c>
      <c r="Q3" s="12" t="s">
        <v>10</v>
      </c>
      <c r="R3" s="12" t="s">
        <v>12</v>
      </c>
      <c r="S3" s="125" t="s">
        <v>14</v>
      </c>
      <c r="T3" s="125" t="s">
        <v>15</v>
      </c>
      <c r="U3" s="12" t="s">
        <v>16</v>
      </c>
      <c r="V3" s="12" t="s">
        <v>17</v>
      </c>
      <c r="W3" s="12" t="s">
        <v>8</v>
      </c>
      <c r="X3" s="12" t="s">
        <v>10</v>
      </c>
      <c r="Y3" s="12" t="s">
        <v>12</v>
      </c>
      <c r="Z3" s="125" t="s">
        <v>14</v>
      </c>
      <c r="AA3" s="125" t="s">
        <v>15</v>
      </c>
      <c r="AB3" s="12" t="s">
        <v>16</v>
      </c>
      <c r="AC3" s="12" t="s">
        <v>17</v>
      </c>
      <c r="AD3" s="12" t="s">
        <v>8</v>
      </c>
      <c r="AE3" s="12" t="s">
        <v>10</v>
      </c>
      <c r="AF3" s="12" t="s">
        <v>12</v>
      </c>
      <c r="AG3" s="125" t="s">
        <v>14</v>
      </c>
      <c r="AH3" s="224"/>
      <c r="AI3" s="226"/>
      <c r="AJ3" s="231"/>
    </row>
    <row r="4" spans="1:36" ht="29.1" customHeight="1">
      <c r="A4" s="14">
        <v>101</v>
      </c>
      <c r="B4" s="15" t="s">
        <v>21</v>
      </c>
      <c r="C4" s="135"/>
      <c r="D4" s="136" t="s">
        <v>3</v>
      </c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  <c r="S4" s="137"/>
      <c r="T4" s="137"/>
      <c r="U4" s="137"/>
      <c r="V4" s="137"/>
      <c r="W4" s="137"/>
      <c r="X4" s="137"/>
      <c r="Y4" s="137"/>
      <c r="Z4" s="137"/>
      <c r="AA4" s="137"/>
      <c r="AB4" s="137"/>
      <c r="AC4" s="137"/>
      <c r="AD4" s="137"/>
      <c r="AE4" s="137"/>
      <c r="AF4" s="137"/>
      <c r="AG4" s="138"/>
      <c r="AH4" s="16">
        <f>IF(B4&lt;&gt;"",CountColorCells(C4:AG4))-COUNTIF(C4:AG4,"退房")</f>
        <v>1</v>
      </c>
      <c r="AI4" s="17">
        <f>AH4/31</f>
        <v>3.2258064516129031E-2</v>
      </c>
      <c r="AJ4" s="89" t="str">
        <f>COUNTIF(C4:AG4,"*退房*")&amp;"回
※内1.3倍１回"</f>
        <v>1回
※内1.3倍１回</v>
      </c>
    </row>
    <row r="5" spans="1:36" ht="29.1" customHeight="1">
      <c r="A5" s="23">
        <v>102</v>
      </c>
      <c r="B5" s="19" t="s">
        <v>5</v>
      </c>
      <c r="C5" s="139" t="s">
        <v>44</v>
      </c>
      <c r="D5" s="140"/>
      <c r="E5" s="140" t="s">
        <v>43</v>
      </c>
      <c r="F5" s="141"/>
      <c r="G5" s="141"/>
      <c r="H5" s="141"/>
      <c r="I5" s="141"/>
      <c r="J5" s="142" t="s">
        <v>53</v>
      </c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3"/>
      <c r="AH5" s="21">
        <f>IF(B5&lt;&gt;"",CountColorCells(C5:AG5))-COUNTIF(C5:AG5,"退房")</f>
        <v>2</v>
      </c>
      <c r="AI5" s="22">
        <f t="shared" ref="AI5" si="0">AH5/31</f>
        <v>6.4516129032258063E-2</v>
      </c>
      <c r="AJ5" s="89" t="str">
        <f>COUNTIF(C5:AG5,"*退房*")&amp;"回
※内1.3倍１回"</f>
        <v>2回
※内1.3倍１回</v>
      </c>
    </row>
    <row r="6" spans="1:36" ht="29.1" customHeight="1">
      <c r="A6" s="18">
        <v>201</v>
      </c>
      <c r="B6" s="19" t="s">
        <v>21</v>
      </c>
      <c r="C6" s="144"/>
      <c r="D6" s="145" t="s">
        <v>22</v>
      </c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6" t="s">
        <v>45</v>
      </c>
      <c r="T6" s="146"/>
      <c r="U6" s="146"/>
      <c r="V6" s="146"/>
      <c r="W6" s="146"/>
      <c r="X6" s="147"/>
      <c r="Y6" s="146"/>
      <c r="Z6" s="146"/>
      <c r="AA6" s="146"/>
      <c r="AB6" s="146"/>
      <c r="AC6" s="146"/>
      <c r="AD6" s="146"/>
      <c r="AE6" s="146"/>
      <c r="AF6" s="146"/>
      <c r="AG6" s="148"/>
      <c r="AH6" s="21">
        <f>IF(B6&lt;&gt;"",CountColorCells(C6:AG6))-COUNTIF(C6:AG6,"退房")</f>
        <v>16</v>
      </c>
      <c r="AI6" s="22">
        <f t="shared" ref="AI6:AI9" si="1">AH6/31</f>
        <v>0.5161290322580645</v>
      </c>
      <c r="AJ6" s="89" t="str">
        <f>COUNTIF(C6:AG6,"*退房*")&amp;"回
※内1.3倍１回"</f>
        <v>1回
※内1.3倍１回</v>
      </c>
    </row>
    <row r="7" spans="1:36" ht="29.1" customHeight="1">
      <c r="A7" s="23">
        <v>202</v>
      </c>
      <c r="B7" s="19" t="s">
        <v>5</v>
      </c>
      <c r="C7" s="149"/>
      <c r="D7" s="140"/>
      <c r="E7" s="140" t="s">
        <v>43</v>
      </c>
      <c r="F7" s="141"/>
      <c r="G7" s="141"/>
      <c r="H7" s="141"/>
      <c r="I7" s="141"/>
      <c r="J7" s="142" t="s">
        <v>53</v>
      </c>
      <c r="K7" s="141"/>
      <c r="L7" s="141"/>
      <c r="M7" s="141"/>
      <c r="N7" s="141"/>
      <c r="O7" s="141"/>
      <c r="P7" s="141"/>
      <c r="Q7" s="141"/>
      <c r="R7" s="140" t="s">
        <v>6</v>
      </c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 t="s">
        <v>3</v>
      </c>
      <c r="AE7" s="141"/>
      <c r="AF7" s="146" t="s">
        <v>6</v>
      </c>
      <c r="AG7" s="148"/>
      <c r="AH7" s="21">
        <f>IF(B7&lt;&gt;"",CountColorCells(C7:AG7))-COUNTIF(C7:AG7,"退房")</f>
        <v>16</v>
      </c>
      <c r="AI7" s="22">
        <f t="shared" si="1"/>
        <v>0.5161290322580645</v>
      </c>
      <c r="AJ7" s="58">
        <f t="shared" ref="AJ7:AJ9" si="2">COUNTIF(C7:AG7,"*退房*")</f>
        <v>2</v>
      </c>
    </row>
    <row r="8" spans="1:36" ht="29.1" customHeight="1">
      <c r="A8" s="18">
        <v>301</v>
      </c>
      <c r="B8" s="19" t="s">
        <v>21</v>
      </c>
      <c r="C8" s="150" t="s">
        <v>41</v>
      </c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6" t="s">
        <v>6</v>
      </c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 t="s">
        <v>3</v>
      </c>
      <c r="AA8" s="141"/>
      <c r="AB8" s="141"/>
      <c r="AC8" s="146" t="s">
        <v>6</v>
      </c>
      <c r="AD8" s="146"/>
      <c r="AE8" s="146"/>
      <c r="AF8" s="146"/>
      <c r="AG8" s="148"/>
      <c r="AH8" s="21">
        <f>IF(B8&lt;&gt;"",CountColorCells(C8:AG8))-COUNTIF(C8:AG8,"退房")</f>
        <v>17</v>
      </c>
      <c r="AI8" s="22">
        <f t="shared" si="1"/>
        <v>0.54838709677419351</v>
      </c>
      <c r="AJ8" s="89" t="str">
        <f>COUNTIF(C8:AG8,"*退房*")&amp;"回
※内1.3倍１回"</f>
        <v>2回
※内1.3倍１回</v>
      </c>
    </row>
    <row r="9" spans="1:36" ht="29.1" customHeight="1" thickBot="1">
      <c r="A9" s="24">
        <v>302</v>
      </c>
      <c r="B9" s="25" t="s">
        <v>5</v>
      </c>
      <c r="C9" s="151"/>
      <c r="D9" s="152"/>
      <c r="E9" s="152" t="s">
        <v>40</v>
      </c>
      <c r="F9" s="153"/>
      <c r="G9" s="153"/>
      <c r="H9" s="153"/>
      <c r="I9" s="153"/>
      <c r="J9" s="154" t="s">
        <v>53</v>
      </c>
      <c r="K9" s="153"/>
      <c r="L9" s="153"/>
      <c r="M9" s="153"/>
      <c r="N9" s="153"/>
      <c r="O9" s="153"/>
      <c r="P9" s="153"/>
      <c r="Q9" s="153"/>
      <c r="R9" s="153"/>
      <c r="S9" s="153"/>
      <c r="T9" s="153"/>
      <c r="U9" s="153"/>
      <c r="V9" s="153"/>
      <c r="W9" s="153"/>
      <c r="X9" s="155"/>
      <c r="Y9" s="156"/>
      <c r="Z9" s="157" t="s">
        <v>6</v>
      </c>
      <c r="AA9" s="157"/>
      <c r="AB9" s="157"/>
      <c r="AC9" s="157"/>
      <c r="AD9" s="158"/>
      <c r="AE9" s="158"/>
      <c r="AF9" s="158"/>
      <c r="AG9" s="159"/>
      <c r="AH9" s="26">
        <f>IF(B9&lt;&gt;"",CountColorCells(C9:AG9))-COUNTIF(C9:AG9,"退房")</f>
        <v>10</v>
      </c>
      <c r="AI9" s="27">
        <f t="shared" si="1"/>
        <v>0.32258064516129031</v>
      </c>
      <c r="AJ9" s="59">
        <f t="shared" si="2"/>
        <v>1</v>
      </c>
    </row>
    <row r="10" spans="1:36" ht="29.1" customHeight="1">
      <c r="AH10" s="96">
        <f>SUM(AH4:AH9)</f>
        <v>62</v>
      </c>
      <c r="AI10" s="97">
        <f>AVERAGE(AI4:AI9)</f>
        <v>0.33333333333333331</v>
      </c>
    </row>
    <row r="11" spans="1:36" ht="29.1" customHeight="1" thickBot="1">
      <c r="C11" s="227">
        <v>46054</v>
      </c>
      <c r="D11" s="227"/>
      <c r="E11" s="227"/>
      <c r="F11" s="227"/>
      <c r="G11" s="34"/>
      <c r="H11" s="2" t="s">
        <v>4</v>
      </c>
      <c r="J11" s="3"/>
      <c r="K11" s="2" t="s">
        <v>1</v>
      </c>
      <c r="M11" s="4"/>
      <c r="N11" s="2" t="s">
        <v>2</v>
      </c>
      <c r="P11" s="5"/>
      <c r="Q11" s="6" t="s">
        <v>7</v>
      </c>
    </row>
    <row r="12" spans="1:36" s="1" customFormat="1" ht="29.1" customHeight="1">
      <c r="A12" s="219" t="s">
        <v>0</v>
      </c>
      <c r="B12" s="220"/>
      <c r="C12" s="123">
        <v>1</v>
      </c>
      <c r="D12" s="9">
        <v>2</v>
      </c>
      <c r="E12" s="9">
        <v>3</v>
      </c>
      <c r="F12" s="9">
        <v>4</v>
      </c>
      <c r="G12" s="9">
        <v>5</v>
      </c>
      <c r="H12" s="9">
        <v>6</v>
      </c>
      <c r="I12" s="122">
        <v>7</v>
      </c>
      <c r="J12" s="122">
        <v>8</v>
      </c>
      <c r="K12" s="9">
        <v>9</v>
      </c>
      <c r="L12" s="9">
        <v>10</v>
      </c>
      <c r="M12" s="9">
        <v>11</v>
      </c>
      <c r="N12" s="9">
        <v>12</v>
      </c>
      <c r="O12" s="9">
        <v>13</v>
      </c>
      <c r="P12" s="122">
        <v>14</v>
      </c>
      <c r="Q12" s="122">
        <v>15</v>
      </c>
      <c r="R12" s="9">
        <v>16</v>
      </c>
      <c r="S12" s="9">
        <v>17</v>
      </c>
      <c r="T12" s="9">
        <v>18</v>
      </c>
      <c r="U12" s="9">
        <v>19</v>
      </c>
      <c r="V12" s="9">
        <v>20</v>
      </c>
      <c r="W12" s="122">
        <v>21</v>
      </c>
      <c r="X12" s="122">
        <v>22</v>
      </c>
      <c r="Y12" s="9">
        <v>23</v>
      </c>
      <c r="Z12" s="9">
        <v>24</v>
      </c>
      <c r="AA12" s="9">
        <v>25</v>
      </c>
      <c r="AB12" s="9">
        <v>26</v>
      </c>
      <c r="AC12" s="9">
        <v>27</v>
      </c>
      <c r="AD12" s="122">
        <v>28</v>
      </c>
      <c r="AE12" s="9"/>
      <c r="AF12" s="9"/>
      <c r="AG12" s="28"/>
      <c r="AH12" s="223" t="s">
        <v>18</v>
      </c>
      <c r="AI12" s="228" t="s">
        <v>20</v>
      </c>
      <c r="AJ12" s="230" t="s">
        <v>36</v>
      </c>
    </row>
    <row r="13" spans="1:36" s="1" customFormat="1" ht="29.1" customHeight="1" thickBot="1">
      <c r="A13" s="221"/>
      <c r="B13" s="222"/>
      <c r="C13" s="126" t="s">
        <v>15</v>
      </c>
      <c r="D13" s="12" t="s">
        <v>16</v>
      </c>
      <c r="E13" s="12" t="s">
        <v>17</v>
      </c>
      <c r="F13" s="12" t="s">
        <v>8</v>
      </c>
      <c r="G13" s="12" t="s">
        <v>10</v>
      </c>
      <c r="H13" s="12" t="s">
        <v>12</v>
      </c>
      <c r="I13" s="125" t="s">
        <v>14</v>
      </c>
      <c r="J13" s="125" t="s">
        <v>15</v>
      </c>
      <c r="K13" s="12" t="s">
        <v>16</v>
      </c>
      <c r="L13" s="12" t="s">
        <v>17</v>
      </c>
      <c r="M13" s="12" t="s">
        <v>8</v>
      </c>
      <c r="N13" s="12" t="s">
        <v>10</v>
      </c>
      <c r="O13" s="12" t="s">
        <v>12</v>
      </c>
      <c r="P13" s="125" t="s">
        <v>14</v>
      </c>
      <c r="Q13" s="125" t="s">
        <v>15</v>
      </c>
      <c r="R13" s="12" t="s">
        <v>16</v>
      </c>
      <c r="S13" s="12" t="s">
        <v>17</v>
      </c>
      <c r="T13" s="12" t="s">
        <v>8</v>
      </c>
      <c r="U13" s="12" t="s">
        <v>10</v>
      </c>
      <c r="V13" s="12" t="s">
        <v>12</v>
      </c>
      <c r="W13" s="125" t="s">
        <v>14</v>
      </c>
      <c r="X13" s="125" t="s">
        <v>15</v>
      </c>
      <c r="Y13" s="12" t="s">
        <v>16</v>
      </c>
      <c r="Z13" s="12" t="s">
        <v>17</v>
      </c>
      <c r="AA13" s="12" t="s">
        <v>8</v>
      </c>
      <c r="AB13" s="12" t="s">
        <v>10</v>
      </c>
      <c r="AC13" s="12" t="s">
        <v>12</v>
      </c>
      <c r="AD13" s="125" t="s">
        <v>14</v>
      </c>
      <c r="AE13" s="31"/>
      <c r="AF13" s="31"/>
      <c r="AG13" s="25"/>
      <c r="AH13" s="224"/>
      <c r="AI13" s="229"/>
      <c r="AJ13" s="231"/>
    </row>
    <row r="14" spans="1:36" ht="29.1" customHeight="1">
      <c r="A14" s="14">
        <v>101</v>
      </c>
      <c r="B14" s="15" t="s">
        <v>21</v>
      </c>
      <c r="C14" s="160" t="s">
        <v>6</v>
      </c>
      <c r="D14" s="161"/>
      <c r="E14" s="161"/>
      <c r="F14" s="161" t="s">
        <v>47</v>
      </c>
      <c r="G14" s="161"/>
      <c r="H14" s="161"/>
      <c r="I14" s="161"/>
      <c r="J14" s="162" t="s">
        <v>3</v>
      </c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7"/>
      <c r="V14" s="163" t="s">
        <v>30</v>
      </c>
      <c r="W14" s="163" t="s">
        <v>56</v>
      </c>
      <c r="X14" s="164" t="s">
        <v>60</v>
      </c>
      <c r="Y14" s="165"/>
      <c r="Z14" s="165"/>
      <c r="AA14" s="165"/>
      <c r="AB14" s="165" t="s">
        <v>3</v>
      </c>
      <c r="AC14" s="166"/>
      <c r="AD14" s="165" t="s">
        <v>6</v>
      </c>
      <c r="AE14" s="137"/>
      <c r="AF14" s="137"/>
      <c r="AG14" s="138"/>
      <c r="AH14" s="16">
        <f>IF(B14&lt;&gt;"",CountColorCells(C14:AG14))-COUNTIF(C14:AG14,"退房")</f>
        <v>14</v>
      </c>
      <c r="AI14" s="17">
        <f>AH14/28</f>
        <v>0.5</v>
      </c>
      <c r="AJ14" s="57">
        <f t="shared" ref="AJ14:AJ19" si="3">COUNTIF(C14:AG14,"*退房*")</f>
        <v>2</v>
      </c>
    </row>
    <row r="15" spans="1:36" ht="29.1" customHeight="1">
      <c r="A15" s="23">
        <v>102</v>
      </c>
      <c r="B15" s="19" t="s">
        <v>5</v>
      </c>
      <c r="C15" s="167"/>
      <c r="D15" s="141"/>
      <c r="E15" s="140" t="s">
        <v>6</v>
      </c>
      <c r="F15" s="140"/>
      <c r="G15" s="140"/>
      <c r="H15" s="140"/>
      <c r="I15" s="140" t="s">
        <v>3</v>
      </c>
      <c r="J15" s="141"/>
      <c r="K15" s="165" t="s">
        <v>6</v>
      </c>
      <c r="L15" s="165"/>
      <c r="M15" s="165"/>
      <c r="N15" s="165" t="s">
        <v>48</v>
      </c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41"/>
      <c r="AF15" s="141"/>
      <c r="AG15" s="143"/>
      <c r="AH15" s="21">
        <f>IF(B15&lt;&gt;"",CountColorCells(C15:AG15))-COUNTIF(C15:AG15,"退房")</f>
        <v>24</v>
      </c>
      <c r="AI15" s="22">
        <f t="shared" ref="AI15:AI19" si="4">AH15/28</f>
        <v>0.8571428571428571</v>
      </c>
      <c r="AJ15" s="58">
        <f t="shared" si="3"/>
        <v>1</v>
      </c>
    </row>
    <row r="16" spans="1:36" ht="29.1" customHeight="1">
      <c r="A16" s="18">
        <v>201</v>
      </c>
      <c r="B16" s="19" t="s">
        <v>21</v>
      </c>
      <c r="C16" s="150"/>
      <c r="D16" s="146"/>
      <c r="E16" s="146"/>
      <c r="F16" s="146"/>
      <c r="G16" s="146"/>
      <c r="H16" s="146"/>
      <c r="I16" s="146"/>
      <c r="J16" s="146"/>
      <c r="K16" s="146"/>
      <c r="L16" s="146"/>
      <c r="M16" s="168"/>
      <c r="N16" s="146"/>
      <c r="O16" s="146"/>
      <c r="P16" s="146" t="s">
        <v>46</v>
      </c>
      <c r="Q16" s="141"/>
      <c r="R16" s="165" t="s">
        <v>6</v>
      </c>
      <c r="S16" s="165" t="s">
        <v>49</v>
      </c>
      <c r="T16" s="165"/>
      <c r="U16" s="165"/>
      <c r="V16" s="169" t="s">
        <v>50</v>
      </c>
      <c r="W16" s="165"/>
      <c r="X16" s="170"/>
      <c r="Y16" s="165" t="s">
        <v>104</v>
      </c>
      <c r="Z16" s="165"/>
      <c r="AA16" s="165"/>
      <c r="AB16" s="165"/>
      <c r="AC16" s="165" t="s">
        <v>3</v>
      </c>
      <c r="AD16" s="141"/>
      <c r="AE16" s="141"/>
      <c r="AF16" s="141"/>
      <c r="AG16" s="143"/>
      <c r="AH16" s="21">
        <f>IF(B16&lt;&gt;"",CountColorCells(C16:AG16))-COUNTIF(C16:AG16,"退房")</f>
        <v>24</v>
      </c>
      <c r="AI16" s="22">
        <f t="shared" si="4"/>
        <v>0.8571428571428571</v>
      </c>
      <c r="AJ16" s="58">
        <f t="shared" si="3"/>
        <v>3</v>
      </c>
    </row>
    <row r="17" spans="1:36" ht="29.1" customHeight="1">
      <c r="A17" s="23">
        <v>202</v>
      </c>
      <c r="B17" s="19" t="s">
        <v>5</v>
      </c>
      <c r="C17" s="150"/>
      <c r="D17" s="146"/>
      <c r="E17" s="146"/>
      <c r="F17" s="146"/>
      <c r="G17" s="171" t="s">
        <v>3</v>
      </c>
      <c r="H17" s="141"/>
      <c r="I17" s="141"/>
      <c r="J17" s="141"/>
      <c r="K17" s="141"/>
      <c r="L17" s="141"/>
      <c r="M17" s="141"/>
      <c r="N17" s="165" t="s">
        <v>6</v>
      </c>
      <c r="O17" s="165"/>
      <c r="P17" s="165"/>
      <c r="Q17" s="165" t="s">
        <v>49</v>
      </c>
      <c r="R17" s="165"/>
      <c r="S17" s="165"/>
      <c r="T17" s="165"/>
      <c r="U17" s="165"/>
      <c r="V17" s="169" t="s">
        <v>25</v>
      </c>
      <c r="W17" s="169" t="s">
        <v>51</v>
      </c>
      <c r="X17" s="169" t="s">
        <v>50</v>
      </c>
      <c r="Y17" s="164" t="s">
        <v>52</v>
      </c>
      <c r="Z17" s="172" t="s">
        <v>58</v>
      </c>
      <c r="AA17" s="173" t="s">
        <v>3</v>
      </c>
      <c r="AB17" s="141"/>
      <c r="AC17" s="141"/>
      <c r="AD17" s="141"/>
      <c r="AE17" s="141"/>
      <c r="AF17" s="141"/>
      <c r="AG17" s="143"/>
      <c r="AH17" s="21">
        <f>IF(B17&lt;&gt;"",CountColorCells(C17:AG17))-COUNTIF(C17:AG17,"退房")</f>
        <v>17</v>
      </c>
      <c r="AI17" s="22">
        <f t="shared" si="4"/>
        <v>0.6071428571428571</v>
      </c>
      <c r="AJ17" s="58">
        <f t="shared" si="3"/>
        <v>4</v>
      </c>
    </row>
    <row r="18" spans="1:36" ht="29.1" customHeight="1">
      <c r="A18" s="18">
        <v>301</v>
      </c>
      <c r="B18" s="19" t="s">
        <v>21</v>
      </c>
      <c r="C18" s="150"/>
      <c r="D18" s="146"/>
      <c r="E18" s="146"/>
      <c r="F18" s="146"/>
      <c r="G18" s="146"/>
      <c r="H18" s="146"/>
      <c r="I18" s="146"/>
      <c r="J18" s="174" t="s">
        <v>25</v>
      </c>
      <c r="K18" s="145"/>
      <c r="L18" s="145"/>
      <c r="M18" s="145"/>
      <c r="N18" s="145"/>
      <c r="O18" s="145"/>
      <c r="P18" s="145"/>
      <c r="Q18" s="145"/>
      <c r="R18" s="145"/>
      <c r="S18" s="145"/>
      <c r="T18" s="145"/>
      <c r="U18" s="145"/>
      <c r="V18" s="145"/>
      <c r="W18" s="169" t="s">
        <v>50</v>
      </c>
      <c r="X18" s="163" t="s">
        <v>57</v>
      </c>
      <c r="Y18" s="173" t="s">
        <v>3</v>
      </c>
      <c r="Z18" s="141"/>
      <c r="AA18" s="141"/>
      <c r="AB18" s="141"/>
      <c r="AC18" s="141"/>
      <c r="AD18" s="141"/>
      <c r="AE18" s="141"/>
      <c r="AF18" s="141"/>
      <c r="AG18" s="143"/>
      <c r="AH18" s="21">
        <f>IF(B18&lt;&gt;"",CountColorCells(C18:AG18))-COUNTIF(C18:AG18,"退房")</f>
        <v>22</v>
      </c>
      <c r="AI18" s="22">
        <f t="shared" si="4"/>
        <v>0.7857142857142857</v>
      </c>
      <c r="AJ18" s="58">
        <f t="shared" si="3"/>
        <v>3</v>
      </c>
    </row>
    <row r="19" spans="1:36" ht="29.1" customHeight="1" thickBot="1">
      <c r="A19" s="24">
        <v>302</v>
      </c>
      <c r="B19" s="25" t="s">
        <v>5</v>
      </c>
      <c r="C19" s="175"/>
      <c r="D19" s="158"/>
      <c r="E19" s="158"/>
      <c r="F19" s="158"/>
      <c r="G19" s="158"/>
      <c r="H19" s="158"/>
      <c r="I19" s="158"/>
      <c r="J19" s="158"/>
      <c r="K19" s="158" t="s">
        <v>3</v>
      </c>
      <c r="L19" s="153"/>
      <c r="M19" s="153"/>
      <c r="N19" s="176" t="s">
        <v>6</v>
      </c>
      <c r="O19" s="176" t="s">
        <v>47</v>
      </c>
      <c r="P19" s="176"/>
      <c r="Q19" s="176" t="s">
        <v>3</v>
      </c>
      <c r="R19" s="153"/>
      <c r="S19" s="152" t="s">
        <v>6</v>
      </c>
      <c r="T19" s="152"/>
      <c r="U19" s="152"/>
      <c r="V19" s="152"/>
      <c r="W19" s="152"/>
      <c r="X19" s="177" t="s">
        <v>3</v>
      </c>
      <c r="Y19" s="156"/>
      <c r="Z19" s="156"/>
      <c r="AA19" s="156"/>
      <c r="AB19" s="156"/>
      <c r="AC19" s="156"/>
      <c r="AD19" s="153"/>
      <c r="AE19" s="153"/>
      <c r="AF19" s="153"/>
      <c r="AG19" s="178"/>
      <c r="AH19" s="26">
        <f>IF(B19&lt;&gt;"",CountColorCells(C19:AG19))-COUNTIF(C19:AG19,"退房")</f>
        <v>16</v>
      </c>
      <c r="AI19" s="27">
        <f t="shared" si="4"/>
        <v>0.5714285714285714</v>
      </c>
      <c r="AJ19" s="59">
        <f t="shared" si="3"/>
        <v>3</v>
      </c>
    </row>
    <row r="20" spans="1:36" ht="29.1" customHeight="1">
      <c r="AH20" s="96">
        <f>SUM(AH14:AH19)</f>
        <v>117</v>
      </c>
      <c r="AI20" s="97">
        <f>AVERAGE(AI14:AI19)</f>
        <v>0.69642857142857151</v>
      </c>
    </row>
    <row r="21" spans="1:36" ht="29.1" customHeight="1" thickBot="1">
      <c r="C21" s="227">
        <v>46082</v>
      </c>
      <c r="D21" s="227"/>
      <c r="E21" s="227"/>
      <c r="F21" s="227"/>
      <c r="G21" s="34"/>
      <c r="H21" s="2" t="s">
        <v>4</v>
      </c>
      <c r="J21" s="3"/>
      <c r="K21" s="2" t="s">
        <v>1</v>
      </c>
      <c r="M21" s="4"/>
      <c r="N21" s="2" t="s">
        <v>2</v>
      </c>
      <c r="P21" s="5"/>
      <c r="Q21" s="6" t="s">
        <v>7</v>
      </c>
    </row>
    <row r="22" spans="1:36" s="1" customFormat="1" ht="29.1" customHeight="1">
      <c r="A22" s="219" t="s">
        <v>0</v>
      </c>
      <c r="B22" s="220"/>
      <c r="C22" s="123">
        <v>1</v>
      </c>
      <c r="D22" s="9">
        <v>2</v>
      </c>
      <c r="E22" s="9">
        <v>3</v>
      </c>
      <c r="F22" s="9">
        <v>4</v>
      </c>
      <c r="G22" s="9">
        <v>5</v>
      </c>
      <c r="H22" s="9">
        <v>6</v>
      </c>
      <c r="I22" s="122">
        <v>7</v>
      </c>
      <c r="J22" s="122">
        <v>8</v>
      </c>
      <c r="K22" s="9">
        <v>9</v>
      </c>
      <c r="L22" s="9">
        <v>10</v>
      </c>
      <c r="M22" s="9">
        <v>11</v>
      </c>
      <c r="N22" s="9">
        <v>12</v>
      </c>
      <c r="O22" s="9">
        <v>13</v>
      </c>
      <c r="P22" s="122">
        <v>14</v>
      </c>
      <c r="Q22" s="122">
        <v>15</v>
      </c>
      <c r="R22" s="9">
        <v>16</v>
      </c>
      <c r="S22" s="9">
        <v>17</v>
      </c>
      <c r="T22" s="9">
        <v>18</v>
      </c>
      <c r="U22" s="9">
        <v>19</v>
      </c>
      <c r="V22" s="9">
        <v>20</v>
      </c>
      <c r="W22" s="122">
        <v>21</v>
      </c>
      <c r="X22" s="122">
        <v>22</v>
      </c>
      <c r="Y22" s="9">
        <v>23</v>
      </c>
      <c r="Z22" s="9">
        <v>24</v>
      </c>
      <c r="AA22" s="9">
        <v>25</v>
      </c>
      <c r="AB22" s="9">
        <v>26</v>
      </c>
      <c r="AC22" s="9">
        <v>27</v>
      </c>
      <c r="AD22" s="122">
        <v>28</v>
      </c>
      <c r="AE22" s="122">
        <v>29</v>
      </c>
      <c r="AF22" s="9">
        <v>30</v>
      </c>
      <c r="AG22" s="28">
        <v>31</v>
      </c>
      <c r="AH22" s="223" t="s">
        <v>18</v>
      </c>
      <c r="AI22" s="225" t="s">
        <v>20</v>
      </c>
      <c r="AJ22" s="230" t="s">
        <v>36</v>
      </c>
    </row>
    <row r="23" spans="1:36" s="1" customFormat="1" ht="29.1" customHeight="1" thickBot="1">
      <c r="A23" s="221"/>
      <c r="B23" s="222"/>
      <c r="C23" s="126" t="s">
        <v>15</v>
      </c>
      <c r="D23" s="12" t="s">
        <v>16</v>
      </c>
      <c r="E23" s="12" t="s">
        <v>17</v>
      </c>
      <c r="F23" s="12" t="s">
        <v>8</v>
      </c>
      <c r="G23" s="12" t="s">
        <v>10</v>
      </c>
      <c r="H23" s="12" t="s">
        <v>12</v>
      </c>
      <c r="I23" s="125" t="s">
        <v>14</v>
      </c>
      <c r="J23" s="125" t="s">
        <v>15</v>
      </c>
      <c r="K23" s="12" t="s">
        <v>16</v>
      </c>
      <c r="L23" s="12" t="s">
        <v>17</v>
      </c>
      <c r="M23" s="12" t="s">
        <v>8</v>
      </c>
      <c r="N23" s="12" t="s">
        <v>10</v>
      </c>
      <c r="O23" s="12" t="s">
        <v>12</v>
      </c>
      <c r="P23" s="125" t="s">
        <v>14</v>
      </c>
      <c r="Q23" s="125" t="s">
        <v>15</v>
      </c>
      <c r="R23" s="12" t="s">
        <v>16</v>
      </c>
      <c r="S23" s="12" t="s">
        <v>17</v>
      </c>
      <c r="T23" s="12" t="s">
        <v>8</v>
      </c>
      <c r="U23" s="12" t="s">
        <v>10</v>
      </c>
      <c r="V23" s="12" t="s">
        <v>12</v>
      </c>
      <c r="W23" s="125" t="s">
        <v>14</v>
      </c>
      <c r="X23" s="125" t="s">
        <v>15</v>
      </c>
      <c r="Y23" s="12" t="s">
        <v>16</v>
      </c>
      <c r="Z23" s="12" t="s">
        <v>17</v>
      </c>
      <c r="AA23" s="12" t="s">
        <v>8</v>
      </c>
      <c r="AB23" s="12" t="s">
        <v>10</v>
      </c>
      <c r="AC23" s="12" t="s">
        <v>12</v>
      </c>
      <c r="AD23" s="125" t="s">
        <v>14</v>
      </c>
      <c r="AE23" s="125" t="s">
        <v>15</v>
      </c>
      <c r="AF23" s="12" t="s">
        <v>16</v>
      </c>
      <c r="AG23" s="12" t="s">
        <v>17</v>
      </c>
      <c r="AH23" s="224"/>
      <c r="AI23" s="226"/>
      <c r="AJ23" s="231"/>
    </row>
    <row r="24" spans="1:36" ht="29.1" customHeight="1">
      <c r="A24" s="14">
        <v>101</v>
      </c>
      <c r="B24" s="19" t="s">
        <v>21</v>
      </c>
      <c r="C24" s="160" t="s">
        <v>47</v>
      </c>
      <c r="D24" s="161"/>
      <c r="E24" s="161"/>
      <c r="F24" s="161"/>
      <c r="G24" s="161" t="s">
        <v>22</v>
      </c>
      <c r="H24" s="161" t="s">
        <v>6</v>
      </c>
      <c r="I24" s="179" t="s">
        <v>67</v>
      </c>
      <c r="J24" s="161" t="s">
        <v>3</v>
      </c>
      <c r="K24" s="137"/>
      <c r="L24" s="161" t="s">
        <v>6</v>
      </c>
      <c r="M24" s="161"/>
      <c r="N24" s="161" t="s">
        <v>68</v>
      </c>
      <c r="O24" s="161"/>
      <c r="P24" s="161"/>
      <c r="Q24" s="161"/>
      <c r="R24" s="161" t="s">
        <v>3</v>
      </c>
      <c r="S24" s="161" t="s">
        <v>23</v>
      </c>
      <c r="T24" s="161" t="s">
        <v>48</v>
      </c>
      <c r="U24" s="179" t="s">
        <v>93</v>
      </c>
      <c r="V24" s="162" t="s">
        <v>25</v>
      </c>
      <c r="W24" s="161" t="s">
        <v>48</v>
      </c>
      <c r="X24" s="161" t="s">
        <v>3</v>
      </c>
      <c r="Y24" s="137"/>
      <c r="Z24" s="137"/>
      <c r="AA24" s="180" t="s">
        <v>6</v>
      </c>
      <c r="AB24" s="180"/>
      <c r="AC24" s="180"/>
      <c r="AD24" s="180"/>
      <c r="AE24" s="180"/>
      <c r="AF24" s="180"/>
      <c r="AG24" s="181"/>
      <c r="AH24" s="16">
        <f>IF(B24&lt;&gt;"",CountColorCells(C24:AG24))-COUNTIF(C24:AG24,"退房")</f>
        <v>24</v>
      </c>
      <c r="AI24" s="17">
        <f>AH24/31</f>
        <v>0.77419354838709675</v>
      </c>
      <c r="AJ24" s="57">
        <f t="shared" ref="AJ24:AJ29" si="5">COUNTIF(C24:AG24,"*退房*")</f>
        <v>5</v>
      </c>
    </row>
    <row r="25" spans="1:36" ht="29.1" customHeight="1">
      <c r="A25" s="23">
        <v>102</v>
      </c>
      <c r="B25" s="19" t="s">
        <v>5</v>
      </c>
      <c r="C25" s="182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 t="s">
        <v>4</v>
      </c>
      <c r="X25" s="165"/>
      <c r="Y25" s="165"/>
      <c r="Z25" s="165"/>
      <c r="AA25" s="183"/>
      <c r="AB25" s="183"/>
      <c r="AC25" s="183"/>
      <c r="AD25" s="183"/>
      <c r="AE25" s="183"/>
      <c r="AF25" s="183"/>
      <c r="AG25" s="184" t="s">
        <v>59</v>
      </c>
      <c r="AH25" s="21">
        <f>IF(B25&lt;&gt;"",CountColorCells(C25:AG25))-COUNTIF(C25:AG25,"退房")</f>
        <v>31</v>
      </c>
      <c r="AI25" s="22">
        <f t="shared" ref="AI25" si="6">AH25/31</f>
        <v>1</v>
      </c>
      <c r="AJ25" s="58">
        <f t="shared" si="5"/>
        <v>1</v>
      </c>
    </row>
    <row r="26" spans="1:36" ht="29.1" customHeight="1">
      <c r="A26" s="18">
        <v>201</v>
      </c>
      <c r="B26" s="19" t="s">
        <v>21</v>
      </c>
      <c r="C26" s="167"/>
      <c r="D26" s="141"/>
      <c r="E26" s="141"/>
      <c r="F26" s="141"/>
      <c r="G26" s="165" t="s">
        <v>6</v>
      </c>
      <c r="H26" s="165"/>
      <c r="I26" s="165" t="s">
        <v>65</v>
      </c>
      <c r="J26" s="165"/>
      <c r="K26" s="165"/>
      <c r="L26" s="165"/>
      <c r="M26" s="165" t="s">
        <v>3</v>
      </c>
      <c r="N26" s="141"/>
      <c r="O26" s="141"/>
      <c r="P26" s="146" t="s">
        <v>6</v>
      </c>
      <c r="Q26" s="146"/>
      <c r="R26" s="146"/>
      <c r="S26" s="146"/>
      <c r="T26" s="146"/>
      <c r="U26" s="146"/>
      <c r="V26" s="169" t="s">
        <v>25</v>
      </c>
      <c r="W26" s="162" t="s">
        <v>48</v>
      </c>
      <c r="X26" s="161"/>
      <c r="Y26" s="185" t="s">
        <v>25</v>
      </c>
      <c r="Z26" s="146"/>
      <c r="AA26" s="146"/>
      <c r="AB26" s="146"/>
      <c r="AC26" s="146"/>
      <c r="AD26" s="146"/>
      <c r="AE26" s="146"/>
      <c r="AF26" s="146"/>
      <c r="AG26" s="188" t="s">
        <v>98</v>
      </c>
      <c r="AH26" s="21">
        <f>IF(B26&lt;&gt;"",CountColorCells(C26:AG26))-COUNTIF(C26:AG26,"退房")</f>
        <v>23</v>
      </c>
      <c r="AI26" s="22">
        <f t="shared" ref="AI26:AI29" si="7">AH26/31</f>
        <v>0.74193548387096775</v>
      </c>
      <c r="AJ26" s="58">
        <f>COUNTIF(C26:AG26,"*退房*")</f>
        <v>4</v>
      </c>
    </row>
    <row r="27" spans="1:36" ht="29.1" customHeight="1">
      <c r="A27" s="23">
        <v>202</v>
      </c>
      <c r="B27" s="19" t="s">
        <v>5</v>
      </c>
      <c r="C27" s="167"/>
      <c r="D27" s="141"/>
      <c r="E27" s="141"/>
      <c r="F27" s="141"/>
      <c r="G27" s="141"/>
      <c r="H27" s="165" t="s">
        <v>6</v>
      </c>
      <c r="I27" s="169" t="s">
        <v>25</v>
      </c>
      <c r="J27" s="169" t="s">
        <v>64</v>
      </c>
      <c r="K27" s="165"/>
      <c r="L27" s="165"/>
      <c r="M27" s="165"/>
      <c r="N27" s="169" t="s">
        <v>25</v>
      </c>
      <c r="O27" s="169" t="s">
        <v>62</v>
      </c>
      <c r="P27" s="165" t="s">
        <v>3</v>
      </c>
      <c r="Q27" s="141"/>
      <c r="R27" s="141"/>
      <c r="S27" s="141"/>
      <c r="T27" s="141"/>
      <c r="U27" s="141"/>
      <c r="V27" s="165" t="s">
        <v>6</v>
      </c>
      <c r="W27" s="169" t="s">
        <v>66</v>
      </c>
      <c r="X27" s="172" t="s">
        <v>69</v>
      </c>
      <c r="Y27" s="164"/>
      <c r="Z27" s="165"/>
      <c r="AA27" s="165"/>
      <c r="AB27" s="165"/>
      <c r="AC27" s="169" t="s">
        <v>55</v>
      </c>
      <c r="AD27" s="165"/>
      <c r="AE27" s="165" t="s">
        <v>74</v>
      </c>
      <c r="AF27" s="165"/>
      <c r="AG27" s="186"/>
      <c r="AH27" s="21">
        <f>IF(B27&lt;&gt;"",CountColorCells(C27:AG27))-COUNTIF(C27:AG27,"退房")</f>
        <v>20</v>
      </c>
      <c r="AI27" s="22">
        <f t="shared" si="7"/>
        <v>0.64516129032258063</v>
      </c>
      <c r="AJ27" s="58">
        <f t="shared" si="5"/>
        <v>5</v>
      </c>
    </row>
    <row r="28" spans="1:36" ht="29.1" customHeight="1">
      <c r="A28" s="18">
        <v>301</v>
      </c>
      <c r="B28" s="19" t="s">
        <v>21</v>
      </c>
      <c r="C28" s="167"/>
      <c r="D28" s="141"/>
      <c r="E28" s="141"/>
      <c r="F28" s="141"/>
      <c r="G28" s="141"/>
      <c r="H28" s="141"/>
      <c r="I28" s="145" t="s">
        <v>6</v>
      </c>
      <c r="J28" s="145"/>
      <c r="K28" s="145"/>
      <c r="L28" s="145"/>
      <c r="M28" s="145"/>
      <c r="N28" s="145"/>
      <c r="O28" s="145"/>
      <c r="P28" s="145" t="s">
        <v>3</v>
      </c>
      <c r="Q28" s="141"/>
      <c r="R28" s="141"/>
      <c r="S28" s="141"/>
      <c r="T28" s="141"/>
      <c r="U28" s="141"/>
      <c r="V28" s="145" t="s">
        <v>6</v>
      </c>
      <c r="W28" s="145" t="s">
        <v>48</v>
      </c>
      <c r="X28" s="145"/>
      <c r="Y28" s="145"/>
      <c r="Z28" s="145" t="s">
        <v>3</v>
      </c>
      <c r="AA28" s="165" t="s">
        <v>6</v>
      </c>
      <c r="AB28" s="169" t="s">
        <v>54</v>
      </c>
      <c r="AC28" s="172" t="s">
        <v>72</v>
      </c>
      <c r="AD28" s="187" t="s">
        <v>25</v>
      </c>
      <c r="AE28" s="145"/>
      <c r="AF28" s="145"/>
      <c r="AG28" s="188" t="s">
        <v>25</v>
      </c>
      <c r="AH28" s="21">
        <f>IF(B28&lt;&gt;"",CountColorCells(C28:AG28))-COUNTIF(C28:AG28,"退房")</f>
        <v>18</v>
      </c>
      <c r="AI28" s="22">
        <f t="shared" si="7"/>
        <v>0.58064516129032262</v>
      </c>
      <c r="AJ28" s="58">
        <f t="shared" si="5"/>
        <v>4</v>
      </c>
    </row>
    <row r="29" spans="1:36" ht="29.1" customHeight="1" thickBot="1">
      <c r="A29" s="24">
        <v>302</v>
      </c>
      <c r="B29" s="25" t="s">
        <v>5</v>
      </c>
      <c r="C29" s="189"/>
      <c r="D29" s="153"/>
      <c r="E29" s="153"/>
      <c r="F29" s="153"/>
      <c r="G29" s="153"/>
      <c r="H29" s="176" t="s">
        <v>6</v>
      </c>
      <c r="I29" s="190" t="s">
        <v>63</v>
      </c>
      <c r="J29" s="176" t="s">
        <v>3</v>
      </c>
      <c r="K29" s="158" t="s">
        <v>6</v>
      </c>
      <c r="L29" s="158"/>
      <c r="M29" s="158"/>
      <c r="N29" s="158"/>
      <c r="O29" s="158"/>
      <c r="P29" s="158" t="s">
        <v>3</v>
      </c>
      <c r="Q29" s="153"/>
      <c r="R29" s="153"/>
      <c r="S29" s="153"/>
      <c r="T29" s="176" t="s">
        <v>23</v>
      </c>
      <c r="U29" s="176"/>
      <c r="V29" s="176" t="s">
        <v>86</v>
      </c>
      <c r="W29" s="176"/>
      <c r="X29" s="191" t="s">
        <v>22</v>
      </c>
      <c r="Y29" s="156"/>
      <c r="Z29" s="156"/>
      <c r="AA29" s="176" t="s">
        <v>6</v>
      </c>
      <c r="AB29" s="192"/>
      <c r="AC29" s="192"/>
      <c r="AD29" s="176" t="s">
        <v>80</v>
      </c>
      <c r="AE29" s="176"/>
      <c r="AF29" s="193" t="s">
        <v>25</v>
      </c>
      <c r="AG29" s="159"/>
      <c r="AH29" s="26">
        <f>IF(B29&lt;&gt;"",CountColorCells(C29:AG29))-COUNTIF(C29:AG29,"退房")</f>
        <v>18</v>
      </c>
      <c r="AI29" s="27">
        <f t="shared" si="7"/>
        <v>0.58064516129032262</v>
      </c>
      <c r="AJ29" s="59">
        <f t="shared" si="5"/>
        <v>4</v>
      </c>
    </row>
    <row r="30" spans="1:36" ht="29.1" customHeight="1">
      <c r="AH30" s="96">
        <f>SUM(AH24:AH29)</f>
        <v>134</v>
      </c>
      <c r="AI30" s="97">
        <f>AVERAGE(AI24:AI29)</f>
        <v>0.72043010752688164</v>
      </c>
    </row>
    <row r="31" spans="1:36" ht="29.1" customHeight="1" thickBot="1">
      <c r="C31" s="227">
        <v>46113</v>
      </c>
      <c r="D31" s="227"/>
      <c r="E31" s="227"/>
      <c r="F31" s="227"/>
      <c r="G31" s="34"/>
      <c r="H31" s="2" t="s">
        <v>4</v>
      </c>
      <c r="J31" s="3"/>
      <c r="K31" s="2" t="s">
        <v>1</v>
      </c>
      <c r="M31" s="4"/>
      <c r="N31" s="2" t="s">
        <v>2</v>
      </c>
      <c r="P31" s="5"/>
      <c r="Q31" s="6" t="s">
        <v>7</v>
      </c>
    </row>
    <row r="32" spans="1:36" s="1" customFormat="1" ht="29.1" customHeight="1">
      <c r="A32" s="219" t="s">
        <v>0</v>
      </c>
      <c r="B32" s="220"/>
      <c r="C32" s="8">
        <v>1</v>
      </c>
      <c r="D32" s="9">
        <v>2</v>
      </c>
      <c r="E32" s="9">
        <v>3</v>
      </c>
      <c r="F32" s="122">
        <v>4</v>
      </c>
      <c r="G32" s="122">
        <v>5</v>
      </c>
      <c r="H32" s="9">
        <v>6</v>
      </c>
      <c r="I32" s="9">
        <v>7</v>
      </c>
      <c r="J32" s="9">
        <v>8</v>
      </c>
      <c r="K32" s="9">
        <v>9</v>
      </c>
      <c r="L32" s="9">
        <v>10</v>
      </c>
      <c r="M32" s="122">
        <v>11</v>
      </c>
      <c r="N32" s="122">
        <v>12</v>
      </c>
      <c r="O32" s="9">
        <v>13</v>
      </c>
      <c r="P32" s="9">
        <v>14</v>
      </c>
      <c r="Q32" s="9">
        <v>15</v>
      </c>
      <c r="R32" s="9">
        <v>16</v>
      </c>
      <c r="S32" s="9">
        <v>17</v>
      </c>
      <c r="T32" s="122">
        <v>18</v>
      </c>
      <c r="U32" s="122">
        <v>19</v>
      </c>
      <c r="V32" s="9">
        <v>20</v>
      </c>
      <c r="W32" s="9">
        <v>21</v>
      </c>
      <c r="X32" s="9">
        <v>22</v>
      </c>
      <c r="Y32" s="9">
        <v>23</v>
      </c>
      <c r="Z32" s="9">
        <v>24</v>
      </c>
      <c r="AA32" s="122">
        <v>25</v>
      </c>
      <c r="AB32" s="122">
        <v>26</v>
      </c>
      <c r="AC32" s="9">
        <v>27</v>
      </c>
      <c r="AD32" s="9">
        <v>28</v>
      </c>
      <c r="AE32" s="129">
        <v>29</v>
      </c>
      <c r="AF32" s="129">
        <v>30</v>
      </c>
      <c r="AG32" s="28"/>
      <c r="AH32" s="223" t="s">
        <v>18</v>
      </c>
      <c r="AI32" s="225" t="s">
        <v>20</v>
      </c>
      <c r="AJ32" s="230" t="s">
        <v>36</v>
      </c>
    </row>
    <row r="33" spans="1:36" s="1" customFormat="1" ht="29.1" customHeight="1" thickBot="1">
      <c r="A33" s="221"/>
      <c r="B33" s="222"/>
      <c r="C33" s="11" t="s">
        <v>8</v>
      </c>
      <c r="D33" s="12" t="s">
        <v>10</v>
      </c>
      <c r="E33" s="12" t="s">
        <v>12</v>
      </c>
      <c r="F33" s="125" t="s">
        <v>14</v>
      </c>
      <c r="G33" s="125" t="s">
        <v>15</v>
      </c>
      <c r="H33" s="12" t="s">
        <v>16</v>
      </c>
      <c r="I33" s="12" t="s">
        <v>17</v>
      </c>
      <c r="J33" s="12" t="s">
        <v>8</v>
      </c>
      <c r="K33" s="12" t="s">
        <v>10</v>
      </c>
      <c r="L33" s="12" t="s">
        <v>12</v>
      </c>
      <c r="M33" s="125" t="s">
        <v>14</v>
      </c>
      <c r="N33" s="125" t="s">
        <v>15</v>
      </c>
      <c r="O33" s="12" t="s">
        <v>16</v>
      </c>
      <c r="P33" s="12" t="s">
        <v>17</v>
      </c>
      <c r="Q33" s="12" t="s">
        <v>8</v>
      </c>
      <c r="R33" s="12" t="s">
        <v>10</v>
      </c>
      <c r="S33" s="12" t="s">
        <v>12</v>
      </c>
      <c r="T33" s="125" t="s">
        <v>14</v>
      </c>
      <c r="U33" s="125" t="s">
        <v>15</v>
      </c>
      <c r="V33" s="12" t="s">
        <v>16</v>
      </c>
      <c r="W33" s="12" t="s">
        <v>17</v>
      </c>
      <c r="X33" s="12" t="s">
        <v>8</v>
      </c>
      <c r="Y33" s="12" t="s">
        <v>10</v>
      </c>
      <c r="Z33" s="12" t="s">
        <v>12</v>
      </c>
      <c r="AA33" s="125" t="s">
        <v>14</v>
      </c>
      <c r="AB33" s="125" t="s">
        <v>15</v>
      </c>
      <c r="AC33" s="12" t="s">
        <v>16</v>
      </c>
      <c r="AD33" s="12" t="s">
        <v>17</v>
      </c>
      <c r="AE33" s="132" t="s">
        <v>8</v>
      </c>
      <c r="AF33" s="132" t="s">
        <v>10</v>
      </c>
      <c r="AG33" s="12"/>
      <c r="AH33" s="224"/>
      <c r="AI33" s="226"/>
      <c r="AJ33" s="231"/>
    </row>
    <row r="34" spans="1:36" ht="29.1" customHeight="1">
      <c r="A34" s="14">
        <v>101</v>
      </c>
      <c r="B34" s="19" t="s">
        <v>21</v>
      </c>
      <c r="C34" s="194"/>
      <c r="D34" s="180"/>
      <c r="E34" s="180"/>
      <c r="F34" s="162" t="s">
        <v>25</v>
      </c>
      <c r="G34" s="161"/>
      <c r="H34" s="161" t="s">
        <v>81</v>
      </c>
      <c r="I34" s="161"/>
      <c r="J34" s="161"/>
      <c r="K34" s="162" t="s">
        <v>25</v>
      </c>
      <c r="L34" s="161" t="s">
        <v>48</v>
      </c>
      <c r="M34" s="161"/>
      <c r="N34" s="161"/>
      <c r="O34" s="162" t="s">
        <v>3</v>
      </c>
      <c r="P34" s="161" t="s">
        <v>23</v>
      </c>
      <c r="Q34" s="161" t="s">
        <v>47</v>
      </c>
      <c r="R34" s="161"/>
      <c r="S34" s="162" t="s">
        <v>25</v>
      </c>
      <c r="T34" s="195" t="s">
        <v>82</v>
      </c>
      <c r="U34" s="162" t="s">
        <v>3</v>
      </c>
      <c r="V34" s="161" t="s">
        <v>23</v>
      </c>
      <c r="W34" s="161" t="s">
        <v>47</v>
      </c>
      <c r="X34" s="213" t="s">
        <v>77</v>
      </c>
      <c r="Y34" s="161"/>
      <c r="Z34" s="161" t="s">
        <v>3</v>
      </c>
      <c r="AA34" s="137"/>
      <c r="AB34" s="137"/>
      <c r="AC34" s="137"/>
      <c r="AD34" s="137"/>
      <c r="AE34" s="137"/>
      <c r="AF34" s="137"/>
      <c r="AG34" s="51"/>
      <c r="AH34" s="16">
        <f>IF(B34&lt;&gt;"",CountColorCells(C34:AG34))-COUNTIF(C34:AG34,"退房")</f>
        <v>21</v>
      </c>
      <c r="AI34" s="17">
        <f>AH34/30</f>
        <v>0.7</v>
      </c>
      <c r="AJ34" s="57">
        <f t="shared" ref="AJ34:AJ39" si="8">COUNTIF(C34:AG34,"*退房*")</f>
        <v>6</v>
      </c>
    </row>
    <row r="35" spans="1:36" ht="29.1" customHeight="1">
      <c r="A35" s="23">
        <v>102</v>
      </c>
      <c r="B35" s="19" t="s">
        <v>5</v>
      </c>
      <c r="C35" s="182" t="s">
        <v>61</v>
      </c>
      <c r="D35" s="172" t="s">
        <v>70</v>
      </c>
      <c r="E35" s="164"/>
      <c r="F35" s="165"/>
      <c r="G35" s="169" t="s">
        <v>25</v>
      </c>
      <c r="H35" s="165"/>
      <c r="I35" s="165"/>
      <c r="J35" s="165" t="s">
        <v>73</v>
      </c>
      <c r="K35" s="196"/>
      <c r="L35" s="196"/>
      <c r="M35" s="196"/>
      <c r="N35" s="165" t="s">
        <v>22</v>
      </c>
      <c r="O35" s="141"/>
      <c r="P35" s="169" t="s">
        <v>6</v>
      </c>
      <c r="Q35" s="165" t="s">
        <v>47</v>
      </c>
      <c r="R35" s="165"/>
      <c r="S35" s="165"/>
      <c r="T35" s="169" t="s">
        <v>25</v>
      </c>
      <c r="U35" s="169" t="s">
        <v>3</v>
      </c>
      <c r="V35" s="141"/>
      <c r="W35" s="141"/>
      <c r="X35" s="141"/>
      <c r="Y35" s="141"/>
      <c r="Z35" s="141"/>
      <c r="AA35" s="141"/>
      <c r="AB35" s="141"/>
      <c r="AC35" s="141"/>
      <c r="AD35" s="197"/>
      <c r="AE35" s="142"/>
      <c r="AF35" s="165" t="s">
        <v>6</v>
      </c>
      <c r="AG35" s="46"/>
      <c r="AH35" s="21">
        <f>IF(B35&lt;&gt;"",CountColorCells(C35:AG35))-COUNTIF(C35:AG35,"退房")</f>
        <v>17</v>
      </c>
      <c r="AI35" s="22">
        <f t="shared" ref="AI35:AI39" si="9">AH35/30</f>
        <v>0.56666666666666665</v>
      </c>
      <c r="AJ35" s="58">
        <f t="shared" si="8"/>
        <v>4</v>
      </c>
    </row>
    <row r="36" spans="1:36" ht="29.1" customHeight="1">
      <c r="A36" s="18">
        <v>201</v>
      </c>
      <c r="B36" s="19" t="s">
        <v>21</v>
      </c>
      <c r="C36" s="182" t="s">
        <v>6</v>
      </c>
      <c r="D36" s="165" t="s">
        <v>47</v>
      </c>
      <c r="E36" s="185" t="s">
        <v>66</v>
      </c>
      <c r="F36" s="146"/>
      <c r="G36" s="146"/>
      <c r="H36" s="185" t="s">
        <v>3</v>
      </c>
      <c r="I36" s="141"/>
      <c r="J36" s="141"/>
      <c r="K36" s="142"/>
      <c r="L36" s="187" t="s">
        <v>6</v>
      </c>
      <c r="M36" s="145"/>
      <c r="N36" s="145"/>
      <c r="O36" s="145"/>
      <c r="P36" s="145"/>
      <c r="Q36" s="145"/>
      <c r="R36" s="145"/>
      <c r="S36" s="145"/>
      <c r="T36" s="145"/>
      <c r="U36" s="145"/>
      <c r="V36" s="145"/>
      <c r="W36" s="145" t="s">
        <v>3</v>
      </c>
      <c r="X36" s="165" t="s">
        <v>6</v>
      </c>
      <c r="Y36" s="165"/>
      <c r="Z36" s="165" t="s">
        <v>119</v>
      </c>
      <c r="AA36" s="165"/>
      <c r="AB36" s="169" t="s">
        <v>25</v>
      </c>
      <c r="AC36" s="165" t="s">
        <v>87</v>
      </c>
      <c r="AD36" s="208" t="s">
        <v>89</v>
      </c>
      <c r="AE36" s="165"/>
      <c r="AF36" s="165"/>
      <c r="AG36" s="46"/>
      <c r="AH36" s="21">
        <f>IF(B36&lt;&gt;"",CountColorCells(C36:AG36))-COUNTIF(C36:AG36,"退房")</f>
        <v>25</v>
      </c>
      <c r="AI36" s="22">
        <f t="shared" si="9"/>
        <v>0.83333333333333337</v>
      </c>
      <c r="AJ36" s="58">
        <f t="shared" si="8"/>
        <v>4</v>
      </c>
    </row>
    <row r="37" spans="1:36" ht="29.1" customHeight="1">
      <c r="A37" s="23">
        <v>202</v>
      </c>
      <c r="B37" s="19" t="s">
        <v>5</v>
      </c>
      <c r="C37" s="182"/>
      <c r="D37" s="165"/>
      <c r="E37" s="165"/>
      <c r="F37" s="169" t="s">
        <v>25</v>
      </c>
      <c r="G37" s="172" t="s">
        <v>75</v>
      </c>
      <c r="H37" s="165" t="s">
        <v>3</v>
      </c>
      <c r="I37" s="173" t="s">
        <v>6</v>
      </c>
      <c r="J37" s="173" t="s">
        <v>61</v>
      </c>
      <c r="K37" s="172" t="s">
        <v>71</v>
      </c>
      <c r="L37" s="173"/>
      <c r="M37" s="173"/>
      <c r="N37" s="163" t="s">
        <v>3</v>
      </c>
      <c r="O37" s="141"/>
      <c r="P37" s="169" t="s">
        <v>6</v>
      </c>
      <c r="Q37" s="165" t="s">
        <v>47</v>
      </c>
      <c r="R37" s="165"/>
      <c r="S37" s="165"/>
      <c r="T37" s="165"/>
      <c r="U37" s="165"/>
      <c r="V37" s="165"/>
      <c r="W37" s="165"/>
      <c r="X37" s="165" t="s">
        <v>22</v>
      </c>
      <c r="Y37" s="141"/>
      <c r="Z37" s="141"/>
      <c r="AA37" s="141"/>
      <c r="AB37" s="141"/>
      <c r="AC37" s="141"/>
      <c r="AD37" s="199" t="s">
        <v>6</v>
      </c>
      <c r="AE37" s="140"/>
      <c r="AF37" s="140"/>
      <c r="AG37" s="46"/>
      <c r="AH37" s="21">
        <f>IF(B37&lt;&gt;"",CountColorCells(C37:AG37))-COUNTIF(C37:AG37,"退房")</f>
        <v>21</v>
      </c>
      <c r="AI37" s="22">
        <f t="shared" si="9"/>
        <v>0.7</v>
      </c>
      <c r="AJ37" s="58">
        <f t="shared" si="8"/>
        <v>4</v>
      </c>
    </row>
    <row r="38" spans="1:36" ht="29.1" customHeight="1">
      <c r="A38" s="18">
        <v>301</v>
      </c>
      <c r="B38" s="19" t="s">
        <v>21</v>
      </c>
      <c r="C38" s="150"/>
      <c r="D38" s="146"/>
      <c r="E38" s="185" t="s">
        <v>25</v>
      </c>
      <c r="F38" s="146"/>
      <c r="G38" s="146"/>
      <c r="H38" s="146"/>
      <c r="I38" s="146"/>
      <c r="J38" s="146"/>
      <c r="K38" s="146"/>
      <c r="L38" s="146"/>
      <c r="M38" s="163" t="s">
        <v>25</v>
      </c>
      <c r="N38" s="185" t="s">
        <v>105</v>
      </c>
      <c r="O38" s="146"/>
      <c r="P38" s="146"/>
      <c r="Q38" s="146"/>
      <c r="R38" s="146"/>
      <c r="S38" s="146"/>
      <c r="T38" s="169" t="s">
        <v>25</v>
      </c>
      <c r="U38" s="173" t="s">
        <v>3</v>
      </c>
      <c r="V38" s="141"/>
      <c r="W38" s="141"/>
      <c r="X38" s="141"/>
      <c r="Y38" s="165" t="s">
        <v>23</v>
      </c>
      <c r="Z38" s="165" t="s">
        <v>48</v>
      </c>
      <c r="AA38" s="165"/>
      <c r="AB38" s="165"/>
      <c r="AC38" s="165" t="s">
        <v>22</v>
      </c>
      <c r="AD38" s="141"/>
      <c r="AE38" s="141"/>
      <c r="AF38" s="165" t="s">
        <v>6</v>
      </c>
      <c r="AG38" s="46"/>
      <c r="AH38" s="21">
        <f>IF(B38&lt;&gt;"",CountColorCells(C38:AG38))-COUNTIF(C38:AG38,"退房")</f>
        <v>23</v>
      </c>
      <c r="AI38" s="22">
        <f t="shared" si="9"/>
        <v>0.76666666666666672</v>
      </c>
      <c r="AJ38" s="58">
        <f t="shared" si="8"/>
        <v>6</v>
      </c>
    </row>
    <row r="39" spans="1:36" ht="29.1" customHeight="1" thickBot="1">
      <c r="A39" s="24">
        <v>302</v>
      </c>
      <c r="B39" s="25" t="s">
        <v>5</v>
      </c>
      <c r="C39" s="175"/>
      <c r="D39" s="158"/>
      <c r="E39" s="158"/>
      <c r="F39" s="158"/>
      <c r="G39" s="158"/>
      <c r="H39" s="158"/>
      <c r="I39" s="158"/>
      <c r="J39" s="158"/>
      <c r="K39" s="200" t="s">
        <v>66</v>
      </c>
      <c r="L39" s="200" t="s">
        <v>83</v>
      </c>
      <c r="M39" s="190" t="s">
        <v>79</v>
      </c>
      <c r="N39" s="211" t="s">
        <v>25</v>
      </c>
      <c r="O39" s="176" t="s">
        <v>48</v>
      </c>
      <c r="P39" s="176"/>
      <c r="Q39" s="190" t="s">
        <v>103</v>
      </c>
      <c r="R39" s="210" t="s">
        <v>106</v>
      </c>
      <c r="S39" s="152"/>
      <c r="T39" s="152"/>
      <c r="U39" s="152"/>
      <c r="V39" s="169" t="s">
        <v>25</v>
      </c>
      <c r="W39" s="165" t="s">
        <v>47</v>
      </c>
      <c r="X39" s="209" t="s">
        <v>77</v>
      </c>
      <c r="Y39" s="165"/>
      <c r="Z39" s="165"/>
      <c r="AA39" s="165" t="s">
        <v>3</v>
      </c>
      <c r="AB39" s="156"/>
      <c r="AC39" s="156"/>
      <c r="AD39" s="156"/>
      <c r="AE39" s="156"/>
      <c r="AF39" s="156"/>
      <c r="AG39" s="52"/>
      <c r="AH39" s="26">
        <f>IF(B39&lt;&gt;"",CountColorCells(C39:AG39))-COUNTIF(C39:AG39,"退房")</f>
        <v>24</v>
      </c>
      <c r="AI39" s="27">
        <f t="shared" si="9"/>
        <v>0.8</v>
      </c>
      <c r="AJ39" s="59">
        <f t="shared" si="8"/>
        <v>5</v>
      </c>
    </row>
    <row r="40" spans="1:36" ht="29.1" customHeight="1">
      <c r="AH40" s="96">
        <f>SUM(AH34:AH39)</f>
        <v>131</v>
      </c>
      <c r="AI40" s="97">
        <f>AVERAGE(AI34:AI39)</f>
        <v>0.72777777777777775</v>
      </c>
    </row>
    <row r="41" spans="1:36" ht="29.1" customHeight="1" thickBot="1">
      <c r="C41" s="227">
        <v>46143</v>
      </c>
      <c r="D41" s="227"/>
      <c r="E41" s="227"/>
      <c r="F41" s="227"/>
      <c r="G41" s="34"/>
      <c r="H41" s="2" t="s">
        <v>4</v>
      </c>
      <c r="J41" s="3"/>
      <c r="K41" s="2" t="s">
        <v>1</v>
      </c>
      <c r="M41" s="4"/>
      <c r="N41" s="2" t="s">
        <v>2</v>
      </c>
      <c r="P41" s="5"/>
      <c r="Q41" s="6" t="s">
        <v>7</v>
      </c>
    </row>
    <row r="42" spans="1:36" s="1" customFormat="1" ht="29.1" customHeight="1">
      <c r="A42" s="219" t="s">
        <v>0</v>
      </c>
      <c r="B42" s="220"/>
      <c r="C42" s="128">
        <v>1</v>
      </c>
      <c r="D42" s="130">
        <v>2</v>
      </c>
      <c r="E42" s="130">
        <v>3</v>
      </c>
      <c r="F42" s="129">
        <v>4</v>
      </c>
      <c r="G42" s="129">
        <v>5</v>
      </c>
      <c r="H42" s="129">
        <v>6</v>
      </c>
      <c r="I42" s="9">
        <v>7</v>
      </c>
      <c r="J42" s="9">
        <v>8</v>
      </c>
      <c r="K42" s="122">
        <v>9</v>
      </c>
      <c r="L42" s="122">
        <v>10</v>
      </c>
      <c r="M42" s="9">
        <v>11</v>
      </c>
      <c r="N42" s="9">
        <v>12</v>
      </c>
      <c r="O42" s="9">
        <v>13</v>
      </c>
      <c r="P42" s="9">
        <v>14</v>
      </c>
      <c r="Q42" s="9">
        <v>15</v>
      </c>
      <c r="R42" s="122">
        <v>16</v>
      </c>
      <c r="S42" s="122">
        <v>17</v>
      </c>
      <c r="T42" s="9">
        <v>18</v>
      </c>
      <c r="U42" s="9">
        <v>19</v>
      </c>
      <c r="V42" s="9">
        <v>20</v>
      </c>
      <c r="W42" s="9">
        <v>21</v>
      </c>
      <c r="X42" s="9">
        <v>22</v>
      </c>
      <c r="Y42" s="122">
        <v>23</v>
      </c>
      <c r="Z42" s="122">
        <v>24</v>
      </c>
      <c r="AA42" s="9">
        <v>25</v>
      </c>
      <c r="AB42" s="9">
        <v>26</v>
      </c>
      <c r="AC42" s="9">
        <v>27</v>
      </c>
      <c r="AD42" s="9">
        <v>28</v>
      </c>
      <c r="AE42" s="9">
        <v>29</v>
      </c>
      <c r="AF42" s="122">
        <v>30</v>
      </c>
      <c r="AG42" s="127">
        <v>31</v>
      </c>
      <c r="AH42" s="223" t="s">
        <v>18</v>
      </c>
      <c r="AI42" s="225" t="s">
        <v>20</v>
      </c>
      <c r="AJ42" s="230" t="s">
        <v>36</v>
      </c>
    </row>
    <row r="43" spans="1:36" s="1" customFormat="1" ht="29.1" customHeight="1" thickBot="1">
      <c r="A43" s="221"/>
      <c r="B43" s="222"/>
      <c r="C43" s="131" t="s">
        <v>12</v>
      </c>
      <c r="D43" s="133" t="s">
        <v>14</v>
      </c>
      <c r="E43" s="133" t="s">
        <v>15</v>
      </c>
      <c r="F43" s="132" t="s">
        <v>16</v>
      </c>
      <c r="G43" s="132" t="s">
        <v>17</v>
      </c>
      <c r="H43" s="132" t="s">
        <v>8</v>
      </c>
      <c r="I43" s="12" t="s">
        <v>10</v>
      </c>
      <c r="J43" s="12" t="s">
        <v>12</v>
      </c>
      <c r="K43" s="125" t="s">
        <v>14</v>
      </c>
      <c r="L43" s="125" t="s">
        <v>15</v>
      </c>
      <c r="M43" s="12" t="s">
        <v>16</v>
      </c>
      <c r="N43" s="12" t="s">
        <v>17</v>
      </c>
      <c r="O43" s="12" t="s">
        <v>8</v>
      </c>
      <c r="P43" s="12" t="s">
        <v>10</v>
      </c>
      <c r="Q43" s="12" t="s">
        <v>12</v>
      </c>
      <c r="R43" s="125" t="s">
        <v>14</v>
      </c>
      <c r="S43" s="125" t="s">
        <v>15</v>
      </c>
      <c r="T43" s="12" t="s">
        <v>16</v>
      </c>
      <c r="U43" s="12" t="s">
        <v>17</v>
      </c>
      <c r="V43" s="12" t="s">
        <v>8</v>
      </c>
      <c r="W43" s="12" t="s">
        <v>10</v>
      </c>
      <c r="X43" s="12" t="s">
        <v>12</v>
      </c>
      <c r="Y43" s="125" t="s">
        <v>14</v>
      </c>
      <c r="Z43" s="125" t="s">
        <v>15</v>
      </c>
      <c r="AA43" s="12" t="s">
        <v>16</v>
      </c>
      <c r="AB43" s="12" t="s">
        <v>17</v>
      </c>
      <c r="AC43" s="12" t="s">
        <v>8</v>
      </c>
      <c r="AD43" s="12" t="s">
        <v>10</v>
      </c>
      <c r="AE43" s="12" t="s">
        <v>12</v>
      </c>
      <c r="AF43" s="125" t="s">
        <v>14</v>
      </c>
      <c r="AG43" s="125" t="s">
        <v>15</v>
      </c>
      <c r="AH43" s="224"/>
      <c r="AI43" s="226"/>
      <c r="AJ43" s="231"/>
    </row>
    <row r="44" spans="1:36" ht="29.1" customHeight="1">
      <c r="A44" s="14">
        <v>101</v>
      </c>
      <c r="B44" s="19" t="s">
        <v>21</v>
      </c>
      <c r="C44" s="207" t="s">
        <v>6</v>
      </c>
      <c r="D44" s="162" t="s">
        <v>84</v>
      </c>
      <c r="E44" s="161"/>
      <c r="F44" s="203" t="s">
        <v>3</v>
      </c>
      <c r="G44" s="204"/>
      <c r="H44" s="204"/>
      <c r="I44" s="204"/>
      <c r="J44" s="137"/>
      <c r="K44" s="161" t="s">
        <v>23</v>
      </c>
      <c r="L44" s="161"/>
      <c r="M44" s="161" t="s">
        <v>47</v>
      </c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 t="s">
        <v>22</v>
      </c>
      <c r="AG44" s="138"/>
      <c r="AH44" s="16">
        <f>IF(B44&lt;&gt;"",CountColorCells(C44:AG44))-COUNTIF(C44:AG44,"退房")</f>
        <v>24</v>
      </c>
      <c r="AI44" s="17">
        <f>AH44/31</f>
        <v>0.77419354838709675</v>
      </c>
      <c r="AJ44" s="57">
        <f t="shared" ref="AJ44:AJ49" si="10">COUNTIF(C44:AG44,"*退房*")</f>
        <v>2</v>
      </c>
    </row>
    <row r="45" spans="1:36" ht="29.1" customHeight="1">
      <c r="A45" s="23">
        <v>102</v>
      </c>
      <c r="B45" s="19" t="s">
        <v>5</v>
      </c>
      <c r="C45" s="182" t="s">
        <v>76</v>
      </c>
      <c r="D45" s="165"/>
      <c r="E45" s="165"/>
      <c r="F45" s="173" t="s">
        <v>22</v>
      </c>
      <c r="G45" s="205"/>
      <c r="H45" s="205"/>
      <c r="I45" s="205"/>
      <c r="J45" s="141"/>
      <c r="K45" s="141"/>
      <c r="L45" s="141"/>
      <c r="M45" s="141"/>
      <c r="N45" s="141"/>
      <c r="O45" s="141"/>
      <c r="P45" s="165" t="s">
        <v>6</v>
      </c>
      <c r="Q45" s="165"/>
      <c r="R45" s="169" t="s">
        <v>25</v>
      </c>
      <c r="S45" s="165"/>
      <c r="T45" s="165" t="s">
        <v>68</v>
      </c>
      <c r="U45" s="209" t="s">
        <v>77</v>
      </c>
      <c r="V45" s="165"/>
      <c r="W45" s="169" t="s">
        <v>25</v>
      </c>
      <c r="X45" s="169" t="s">
        <v>99</v>
      </c>
      <c r="Y45" s="172" t="s">
        <v>100</v>
      </c>
      <c r="Z45" s="172" t="s">
        <v>101</v>
      </c>
      <c r="AA45" s="165"/>
      <c r="AB45" s="165"/>
      <c r="AC45" s="165" t="s">
        <v>22</v>
      </c>
      <c r="AD45" s="141"/>
      <c r="AE45" s="165" t="s">
        <v>23</v>
      </c>
      <c r="AF45" s="165" t="s">
        <v>90</v>
      </c>
      <c r="AG45" s="186"/>
      <c r="AH45" s="21">
        <f>IF(B45&lt;&gt;"",CountColorCells(C45:AG45))-COUNTIF(C45:AG45,"退房")</f>
        <v>17</v>
      </c>
      <c r="AI45" s="22">
        <f t="shared" ref="AI45" si="11">AH45/31</f>
        <v>0.54838709677419351</v>
      </c>
      <c r="AJ45" s="58">
        <f t="shared" si="10"/>
        <v>4</v>
      </c>
    </row>
    <row r="46" spans="1:36" ht="29.1" customHeight="1">
      <c r="A46" s="18">
        <v>201</v>
      </c>
      <c r="B46" s="19" t="s">
        <v>21</v>
      </c>
      <c r="C46" s="182"/>
      <c r="D46" s="165"/>
      <c r="E46" s="165"/>
      <c r="F46" s="173" t="s">
        <v>22</v>
      </c>
      <c r="G46" s="205"/>
      <c r="H46" s="205"/>
      <c r="I46" s="165" t="s">
        <v>6</v>
      </c>
      <c r="J46" s="165" t="s">
        <v>88</v>
      </c>
      <c r="K46" s="165"/>
      <c r="L46" s="165" t="s">
        <v>3</v>
      </c>
      <c r="M46" s="141"/>
      <c r="N46" s="141"/>
      <c r="O46" s="141"/>
      <c r="P46" s="141"/>
      <c r="Q46" s="165" t="s">
        <v>6</v>
      </c>
      <c r="R46" s="165"/>
      <c r="S46" s="165"/>
      <c r="T46" s="169" t="s">
        <v>25</v>
      </c>
      <c r="U46" s="169" t="s">
        <v>25</v>
      </c>
      <c r="V46" s="165"/>
      <c r="W46" s="165" t="s">
        <v>48</v>
      </c>
      <c r="X46" s="172"/>
      <c r="Y46" s="165"/>
      <c r="Z46" s="165" t="s">
        <v>22</v>
      </c>
      <c r="AA46" s="141"/>
      <c r="AB46" s="141"/>
      <c r="AC46" s="141"/>
      <c r="AD46" s="165" t="s">
        <v>6</v>
      </c>
      <c r="AE46" s="165"/>
      <c r="AF46" s="165" t="s">
        <v>85</v>
      </c>
      <c r="AG46" s="186"/>
      <c r="AH46" s="21">
        <f>IF(B46&lt;&gt;"",CountColorCells(C46:AG46))-COUNTIF(C46:AG46,"退房")</f>
        <v>19</v>
      </c>
      <c r="AI46" s="22">
        <f t="shared" ref="AI46:AI49" si="12">AH46/31</f>
        <v>0.61290322580645162</v>
      </c>
      <c r="AJ46" s="58">
        <f t="shared" si="10"/>
        <v>5</v>
      </c>
    </row>
    <row r="47" spans="1:36" ht="29.1" customHeight="1">
      <c r="A47" s="23">
        <v>202</v>
      </c>
      <c r="B47" s="19" t="s">
        <v>5</v>
      </c>
      <c r="C47" s="149"/>
      <c r="D47" s="140"/>
      <c r="E47" s="140"/>
      <c r="F47" s="206"/>
      <c r="G47" s="206"/>
      <c r="H47" s="206" t="s">
        <v>3</v>
      </c>
      <c r="I47" s="205"/>
      <c r="J47" s="141"/>
      <c r="K47" s="141"/>
      <c r="L47" s="141"/>
      <c r="M47" s="165" t="s">
        <v>6</v>
      </c>
      <c r="N47" s="165"/>
      <c r="O47" s="165" t="s">
        <v>68</v>
      </c>
      <c r="P47" s="165"/>
      <c r="Q47" s="165"/>
      <c r="R47" s="165"/>
      <c r="S47" s="165" t="s">
        <v>3</v>
      </c>
      <c r="T47" s="165" t="s">
        <v>23</v>
      </c>
      <c r="U47" s="165"/>
      <c r="V47" s="165" t="s">
        <v>48</v>
      </c>
      <c r="W47" s="172" t="s">
        <v>70</v>
      </c>
      <c r="X47" s="170" t="s">
        <v>107</v>
      </c>
      <c r="Y47" s="165"/>
      <c r="Z47" s="165"/>
      <c r="AA47" s="165"/>
      <c r="AB47" s="165" t="s">
        <v>22</v>
      </c>
      <c r="AC47" s="141"/>
      <c r="AD47" s="165" t="s">
        <v>6</v>
      </c>
      <c r="AE47" s="172" t="s">
        <v>108</v>
      </c>
      <c r="AF47" s="172" t="s">
        <v>96</v>
      </c>
      <c r="AG47" s="186" t="s">
        <v>22</v>
      </c>
      <c r="AH47" s="21">
        <f>IF(B47&lt;&gt;"",CountColorCells(C47:AG47))-COUNTIF(C47:AG47,"退房")</f>
        <v>22</v>
      </c>
      <c r="AI47" s="22">
        <f t="shared" si="12"/>
        <v>0.70967741935483875</v>
      </c>
      <c r="AJ47" s="58">
        <f t="shared" si="10"/>
        <v>4</v>
      </c>
    </row>
    <row r="48" spans="1:36" ht="29.1" customHeight="1">
      <c r="A48" s="18">
        <v>301</v>
      </c>
      <c r="B48" s="19" t="s">
        <v>21</v>
      </c>
      <c r="C48" s="182" t="s">
        <v>47</v>
      </c>
      <c r="D48" s="165"/>
      <c r="E48" s="165"/>
      <c r="F48" s="173" t="s">
        <v>3</v>
      </c>
      <c r="G48" s="205"/>
      <c r="H48" s="205"/>
      <c r="I48" s="205"/>
      <c r="J48" s="141"/>
      <c r="K48" s="141"/>
      <c r="L48" s="141"/>
      <c r="M48" s="141"/>
      <c r="N48" s="141"/>
      <c r="O48" s="141"/>
      <c r="P48" s="141"/>
      <c r="Q48" s="141"/>
      <c r="R48" s="165" t="s">
        <v>6</v>
      </c>
      <c r="S48" s="170" t="s">
        <v>78</v>
      </c>
      <c r="T48" s="170"/>
      <c r="U48" s="165"/>
      <c r="V48" s="169" t="s">
        <v>25</v>
      </c>
      <c r="W48" s="165"/>
      <c r="X48" s="165"/>
      <c r="Y48" s="209" t="s">
        <v>109</v>
      </c>
      <c r="Z48" s="165"/>
      <c r="AA48" s="165"/>
      <c r="AB48" s="169" t="s">
        <v>25</v>
      </c>
      <c r="AC48" s="165" t="s">
        <v>68</v>
      </c>
      <c r="AD48" s="165"/>
      <c r="AE48" s="169" t="s">
        <v>25</v>
      </c>
      <c r="AF48" s="165" t="s">
        <v>111</v>
      </c>
      <c r="AG48" s="186"/>
      <c r="AH48" s="21">
        <f>IF(B48&lt;&gt;"",CountColorCells(C48:AG48))-COUNTIF(C48:AG48,"退房")</f>
        <v>19</v>
      </c>
      <c r="AI48" s="22">
        <f t="shared" si="12"/>
        <v>0.61290322580645162</v>
      </c>
      <c r="AJ48" s="58">
        <f t="shared" si="10"/>
        <v>4</v>
      </c>
    </row>
    <row r="49" spans="1:36" ht="29.1" customHeight="1" thickBot="1">
      <c r="A49" s="24">
        <v>302</v>
      </c>
      <c r="B49" s="25" t="s">
        <v>5</v>
      </c>
      <c r="C49" s="215" t="s">
        <v>6</v>
      </c>
      <c r="D49" s="176" t="s">
        <v>116</v>
      </c>
      <c r="E49" s="190" t="s">
        <v>118</v>
      </c>
      <c r="F49" s="192" t="s">
        <v>3</v>
      </c>
      <c r="G49" s="156"/>
      <c r="H49" s="156"/>
      <c r="I49" s="156"/>
      <c r="J49" s="153"/>
      <c r="K49" s="153"/>
      <c r="L49" s="153"/>
      <c r="M49" s="153"/>
      <c r="N49" s="153"/>
      <c r="O49" s="153"/>
      <c r="P49" s="176" t="s">
        <v>94</v>
      </c>
      <c r="Q49" s="190" t="s">
        <v>96</v>
      </c>
      <c r="R49" s="190" t="s">
        <v>97</v>
      </c>
      <c r="S49" s="176" t="s">
        <v>102</v>
      </c>
      <c r="T49" s="176"/>
      <c r="U49" s="200" t="s">
        <v>95</v>
      </c>
      <c r="V49" s="201" t="s">
        <v>91</v>
      </c>
      <c r="W49" s="201" t="s">
        <v>92</v>
      </c>
      <c r="X49" s="192"/>
      <c r="Y49" s="192"/>
      <c r="Z49" s="192" t="s">
        <v>22</v>
      </c>
      <c r="AA49" s="156"/>
      <c r="AB49" s="176" t="s">
        <v>30</v>
      </c>
      <c r="AC49" s="190" t="s">
        <v>114</v>
      </c>
      <c r="AD49" s="190" t="s">
        <v>115</v>
      </c>
      <c r="AE49" s="176"/>
      <c r="AF49" s="176"/>
      <c r="AG49" s="214" t="s">
        <v>22</v>
      </c>
      <c r="AH49" s="26">
        <f>IF(B49&lt;&gt;"",CountColorCells(C49:AG49))-COUNTIF(C49:AG49,"退房")</f>
        <v>18</v>
      </c>
      <c r="AI49" s="27">
        <f t="shared" si="12"/>
        <v>0.58064516129032262</v>
      </c>
      <c r="AJ49" s="59">
        <f t="shared" si="10"/>
        <v>4</v>
      </c>
    </row>
    <row r="50" spans="1:36" ht="29.1" customHeight="1">
      <c r="AH50" s="96">
        <f>SUM(AH44:AH49)</f>
        <v>119</v>
      </c>
      <c r="AI50" s="97">
        <f>AVERAGE(AI44:AI49)</f>
        <v>0.63978494623655913</v>
      </c>
    </row>
    <row r="51" spans="1:36" ht="29.1" customHeight="1" thickBot="1">
      <c r="C51" s="227">
        <v>46174</v>
      </c>
      <c r="D51" s="227"/>
      <c r="E51" s="227"/>
      <c r="F51" s="227"/>
      <c r="G51" s="34"/>
      <c r="H51" s="2" t="s">
        <v>4</v>
      </c>
      <c r="J51" s="3"/>
      <c r="K51" s="2" t="s">
        <v>1</v>
      </c>
      <c r="M51" s="4"/>
      <c r="N51" s="2" t="s">
        <v>2</v>
      </c>
      <c r="P51" s="5"/>
      <c r="Q51" s="6" t="s">
        <v>7</v>
      </c>
    </row>
    <row r="52" spans="1:36" s="1" customFormat="1" ht="29.1" customHeight="1">
      <c r="A52" s="219" t="s">
        <v>0</v>
      </c>
      <c r="B52" s="220"/>
      <c r="C52" s="8">
        <v>1</v>
      </c>
      <c r="D52" s="9">
        <v>2</v>
      </c>
      <c r="E52" s="9">
        <v>3</v>
      </c>
      <c r="F52" s="9">
        <v>4</v>
      </c>
      <c r="G52" s="9">
        <v>5</v>
      </c>
      <c r="H52" s="9">
        <v>6</v>
      </c>
      <c r="I52" s="9">
        <v>7</v>
      </c>
      <c r="J52" s="9">
        <v>8</v>
      </c>
      <c r="K52" s="9">
        <v>9</v>
      </c>
      <c r="L52" s="9">
        <v>10</v>
      </c>
      <c r="M52" s="9">
        <v>11</v>
      </c>
      <c r="N52" s="9">
        <v>12</v>
      </c>
      <c r="O52" s="9">
        <v>13</v>
      </c>
      <c r="P52" s="9">
        <v>14</v>
      </c>
      <c r="Q52" s="9">
        <v>15</v>
      </c>
      <c r="R52" s="9">
        <v>16</v>
      </c>
      <c r="S52" s="9">
        <v>17</v>
      </c>
      <c r="T52" s="9">
        <v>18</v>
      </c>
      <c r="U52" s="9">
        <v>19</v>
      </c>
      <c r="V52" s="9">
        <v>20</v>
      </c>
      <c r="W52" s="9">
        <v>21</v>
      </c>
      <c r="X52" s="9">
        <v>22</v>
      </c>
      <c r="Y52" s="9">
        <v>23</v>
      </c>
      <c r="Z52" s="9">
        <v>24</v>
      </c>
      <c r="AA52" s="9">
        <v>25</v>
      </c>
      <c r="AB52" s="9">
        <v>26</v>
      </c>
      <c r="AC52" s="9">
        <v>27</v>
      </c>
      <c r="AD52" s="9">
        <v>28</v>
      </c>
      <c r="AE52" s="9">
        <v>29</v>
      </c>
      <c r="AF52" s="9">
        <v>30</v>
      </c>
      <c r="AG52" s="28"/>
      <c r="AH52" s="223" t="s">
        <v>18</v>
      </c>
      <c r="AI52" s="225" t="s">
        <v>20</v>
      </c>
      <c r="AJ52" s="230" t="s">
        <v>36</v>
      </c>
    </row>
    <row r="53" spans="1:36" s="1" customFormat="1" ht="29.1" customHeight="1" thickBot="1">
      <c r="A53" s="221"/>
      <c r="B53" s="222"/>
      <c r="C53" s="11" t="s">
        <v>16</v>
      </c>
      <c r="D53" s="12" t="s">
        <v>17</v>
      </c>
      <c r="E53" s="12" t="s">
        <v>8</v>
      </c>
      <c r="F53" s="12" t="s">
        <v>10</v>
      </c>
      <c r="G53" s="12" t="s">
        <v>12</v>
      </c>
      <c r="H53" s="12" t="s">
        <v>14</v>
      </c>
      <c r="I53" s="12" t="s">
        <v>15</v>
      </c>
      <c r="J53" s="12" t="s">
        <v>16</v>
      </c>
      <c r="K53" s="12" t="s">
        <v>17</v>
      </c>
      <c r="L53" s="12" t="s">
        <v>8</v>
      </c>
      <c r="M53" s="12" t="s">
        <v>10</v>
      </c>
      <c r="N53" s="12" t="s">
        <v>12</v>
      </c>
      <c r="O53" s="12" t="s">
        <v>14</v>
      </c>
      <c r="P53" s="12" t="s">
        <v>15</v>
      </c>
      <c r="Q53" s="12" t="s">
        <v>16</v>
      </c>
      <c r="R53" s="12" t="s">
        <v>17</v>
      </c>
      <c r="S53" s="12" t="s">
        <v>8</v>
      </c>
      <c r="T53" s="12" t="s">
        <v>10</v>
      </c>
      <c r="U53" s="12" t="s">
        <v>12</v>
      </c>
      <c r="V53" s="12" t="s">
        <v>14</v>
      </c>
      <c r="W53" s="12" t="s">
        <v>15</v>
      </c>
      <c r="X53" s="12" t="s">
        <v>16</v>
      </c>
      <c r="Y53" s="12" t="s">
        <v>17</v>
      </c>
      <c r="Z53" s="12" t="s">
        <v>8</v>
      </c>
      <c r="AA53" s="12" t="s">
        <v>10</v>
      </c>
      <c r="AB53" s="12" t="s">
        <v>12</v>
      </c>
      <c r="AC53" s="12" t="s">
        <v>14</v>
      </c>
      <c r="AD53" s="12" t="s">
        <v>15</v>
      </c>
      <c r="AE53" s="12" t="s">
        <v>16</v>
      </c>
      <c r="AF53" s="12" t="s">
        <v>17</v>
      </c>
      <c r="AG53" s="12"/>
      <c r="AH53" s="224"/>
      <c r="AI53" s="226"/>
      <c r="AJ53" s="231"/>
    </row>
    <row r="54" spans="1:36" ht="29.1" customHeight="1">
      <c r="A54" s="14">
        <v>101</v>
      </c>
      <c r="B54" s="19" t="s">
        <v>21</v>
      </c>
      <c r="C54" s="202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65" t="s">
        <v>6</v>
      </c>
      <c r="X54" s="165"/>
      <c r="Y54" s="165"/>
      <c r="Z54" s="165" t="s">
        <v>117</v>
      </c>
      <c r="AA54" s="165"/>
      <c r="AB54" s="165"/>
      <c r="AC54" s="165"/>
      <c r="AD54" s="165"/>
      <c r="AE54" s="165"/>
      <c r="AF54" s="165"/>
      <c r="AG54" s="138"/>
      <c r="AH54" s="16">
        <f>IF(B54&lt;&gt;"",CountColorCells(C54:AG54))-COUNTIF(C54:AG54,"退房")</f>
        <v>10</v>
      </c>
      <c r="AI54" s="17">
        <f>AH54/30</f>
        <v>0.33333333333333331</v>
      </c>
      <c r="AJ54" s="57">
        <f t="shared" ref="AJ54:AJ59" si="13">COUNTIF(C54:AG54,"*退房*")</f>
        <v>0</v>
      </c>
    </row>
    <row r="55" spans="1:36" ht="29.1" customHeight="1">
      <c r="A55" s="23">
        <v>102</v>
      </c>
      <c r="B55" s="19" t="s">
        <v>5</v>
      </c>
      <c r="C55" s="203" t="s">
        <v>3</v>
      </c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41"/>
      <c r="V55" s="141"/>
      <c r="W55" s="141"/>
      <c r="X55" s="141"/>
      <c r="Y55" s="141"/>
      <c r="Z55" s="141"/>
      <c r="AA55" s="141"/>
      <c r="AB55" s="141"/>
      <c r="AC55" s="141"/>
      <c r="AD55" s="141"/>
      <c r="AE55" s="141"/>
      <c r="AF55" s="141"/>
      <c r="AG55" s="143"/>
      <c r="AH55" s="21">
        <f>IF(B55&lt;&gt;"",CountColorCells(C55:AG55))-COUNTIF(C55:AG55,"退房")</f>
        <v>0</v>
      </c>
      <c r="AI55" s="22">
        <f>AH55/30</f>
        <v>0</v>
      </c>
      <c r="AJ55" s="58">
        <f t="shared" si="13"/>
        <v>1</v>
      </c>
    </row>
    <row r="56" spans="1:36" ht="29.1" customHeight="1">
      <c r="A56" s="18">
        <v>201</v>
      </c>
      <c r="B56" s="19" t="s">
        <v>21</v>
      </c>
      <c r="C56" s="182"/>
      <c r="D56" s="165"/>
      <c r="E56" s="165"/>
      <c r="F56" s="165"/>
      <c r="G56" s="165"/>
      <c r="H56" s="165"/>
      <c r="I56" s="165" t="s">
        <v>3</v>
      </c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  <c r="AC56" s="141"/>
      <c r="AD56" s="141"/>
      <c r="AE56" s="165" t="s">
        <v>6</v>
      </c>
      <c r="AF56" s="165"/>
      <c r="AG56" s="143"/>
      <c r="AH56" s="21">
        <f>IF(B56&lt;&gt;"",CountColorCells(C56:AG56))-COUNTIF(C56:AG56,"退房")</f>
        <v>8</v>
      </c>
      <c r="AI56" s="22">
        <f t="shared" ref="AI56:AI59" si="14">AH56/30</f>
        <v>0.26666666666666666</v>
      </c>
      <c r="AJ56" s="58">
        <f t="shared" si="13"/>
        <v>1</v>
      </c>
    </row>
    <row r="57" spans="1:36" ht="29.1" customHeight="1">
      <c r="A57" s="23">
        <v>202</v>
      </c>
      <c r="B57" s="19" t="s">
        <v>5</v>
      </c>
      <c r="C57" s="167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41"/>
      <c r="V57" s="141"/>
      <c r="W57" s="141"/>
      <c r="X57" s="141"/>
      <c r="Y57" s="141"/>
      <c r="Z57" s="141"/>
      <c r="AA57" s="141"/>
      <c r="AB57" s="141"/>
      <c r="AC57" s="141"/>
      <c r="AD57" s="141"/>
      <c r="AE57" s="141"/>
      <c r="AF57" s="141"/>
      <c r="AG57" s="143"/>
      <c r="AH57" s="21">
        <f>IF(B57&lt;&gt;"",CountColorCells(C57:AG57))-COUNTIF(C57:AG57,"退房")</f>
        <v>0</v>
      </c>
      <c r="AI57" s="22">
        <f t="shared" si="14"/>
        <v>0</v>
      </c>
      <c r="AJ57" s="58">
        <f t="shared" si="13"/>
        <v>0</v>
      </c>
    </row>
    <row r="58" spans="1:36" ht="29.1" customHeight="1">
      <c r="A58" s="18">
        <v>301</v>
      </c>
      <c r="B58" s="19" t="s">
        <v>21</v>
      </c>
      <c r="C58" s="182"/>
      <c r="D58" s="165"/>
      <c r="E58" s="165"/>
      <c r="F58" s="165" t="s">
        <v>3</v>
      </c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3"/>
      <c r="AH58" s="21">
        <f>IF(B58&lt;&gt;"",CountColorCells(C58:AG58))-COUNTIF(C58:AG58,"退房")</f>
        <v>3</v>
      </c>
      <c r="AI58" s="22">
        <f t="shared" si="14"/>
        <v>0.1</v>
      </c>
      <c r="AJ58" s="58">
        <f t="shared" si="13"/>
        <v>1</v>
      </c>
    </row>
    <row r="59" spans="1:36" ht="29.1" customHeight="1" thickBot="1">
      <c r="A59" s="24">
        <v>302</v>
      </c>
      <c r="B59" s="25" t="s">
        <v>5</v>
      </c>
      <c r="C59" s="189"/>
      <c r="D59" s="153"/>
      <c r="E59" s="212"/>
      <c r="F59" s="212"/>
      <c r="G59" s="153"/>
      <c r="H59" s="153"/>
      <c r="I59" s="153"/>
      <c r="J59" s="153"/>
      <c r="K59" s="153"/>
      <c r="L59" s="153"/>
      <c r="M59" s="153"/>
      <c r="N59" s="153"/>
      <c r="O59" s="176" t="s">
        <v>23</v>
      </c>
      <c r="P59" s="176" t="s">
        <v>22</v>
      </c>
      <c r="Q59" s="153"/>
      <c r="R59" s="153"/>
      <c r="S59" s="153"/>
      <c r="T59" s="153"/>
      <c r="U59" s="153"/>
      <c r="V59" s="153"/>
      <c r="W59" s="153"/>
      <c r="X59" s="155"/>
      <c r="Y59" s="156"/>
      <c r="Z59" s="156"/>
      <c r="AA59" s="156"/>
      <c r="AB59" s="156"/>
      <c r="AC59" s="156"/>
      <c r="AD59" s="153"/>
      <c r="AE59" s="153"/>
      <c r="AF59" s="153"/>
      <c r="AG59" s="178"/>
      <c r="AH59" s="26">
        <f>IF(B59&lt;&gt;"",CountColorCells(C59:AG59))-COUNTIF(C59:AG59,"退房")</f>
        <v>1</v>
      </c>
      <c r="AI59" s="27">
        <f t="shared" si="14"/>
        <v>3.3333333333333333E-2</v>
      </c>
      <c r="AJ59" s="59">
        <f t="shared" si="13"/>
        <v>1</v>
      </c>
    </row>
    <row r="60" spans="1:36" ht="29.1" customHeight="1">
      <c r="AH60" s="96">
        <f>SUM(AH54:AH59)</f>
        <v>22</v>
      </c>
      <c r="AI60" s="97">
        <f>AVERAGE(AI54:AI59)</f>
        <v>0.12222222222222222</v>
      </c>
    </row>
    <row r="61" spans="1:36" ht="29.1" customHeight="1" thickBot="1">
      <c r="C61" s="227">
        <v>46204</v>
      </c>
      <c r="D61" s="227"/>
      <c r="E61" s="227"/>
      <c r="F61" s="227"/>
      <c r="G61" s="34"/>
      <c r="H61" s="2" t="s">
        <v>4</v>
      </c>
      <c r="J61" s="3"/>
      <c r="K61" s="2" t="s">
        <v>1</v>
      </c>
      <c r="M61" s="4"/>
      <c r="N61" s="2" t="s">
        <v>2</v>
      </c>
      <c r="P61" s="5"/>
      <c r="Q61" s="6" t="s">
        <v>7</v>
      </c>
    </row>
    <row r="62" spans="1:36" s="1" customFormat="1" ht="29.1" customHeight="1">
      <c r="A62" s="219" t="s">
        <v>0</v>
      </c>
      <c r="B62" s="220"/>
      <c r="C62" s="8">
        <v>1</v>
      </c>
      <c r="D62" s="9">
        <v>2</v>
      </c>
      <c r="E62" s="9">
        <v>3</v>
      </c>
      <c r="F62" s="9">
        <v>4</v>
      </c>
      <c r="G62" s="9">
        <v>5</v>
      </c>
      <c r="H62" s="9">
        <v>6</v>
      </c>
      <c r="I62" s="9">
        <v>7</v>
      </c>
      <c r="J62" s="9">
        <v>8</v>
      </c>
      <c r="K62" s="9">
        <v>9</v>
      </c>
      <c r="L62" s="9">
        <v>10</v>
      </c>
      <c r="M62" s="9">
        <v>11</v>
      </c>
      <c r="N62" s="9">
        <v>12</v>
      </c>
      <c r="O62" s="9">
        <v>13</v>
      </c>
      <c r="P62" s="9">
        <v>14</v>
      </c>
      <c r="Q62" s="9">
        <v>15</v>
      </c>
      <c r="R62" s="9">
        <v>16</v>
      </c>
      <c r="S62" s="9">
        <v>17</v>
      </c>
      <c r="T62" s="9">
        <v>18</v>
      </c>
      <c r="U62" s="9">
        <v>19</v>
      </c>
      <c r="V62" s="9">
        <v>20</v>
      </c>
      <c r="W62" s="9">
        <v>21</v>
      </c>
      <c r="X62" s="9">
        <v>22</v>
      </c>
      <c r="Y62" s="9">
        <v>23</v>
      </c>
      <c r="Z62" s="9">
        <v>24</v>
      </c>
      <c r="AA62" s="9">
        <v>25</v>
      </c>
      <c r="AB62" s="9">
        <v>26</v>
      </c>
      <c r="AC62" s="9">
        <v>27</v>
      </c>
      <c r="AD62" s="9">
        <v>28</v>
      </c>
      <c r="AE62" s="9">
        <v>29</v>
      </c>
      <c r="AF62" s="9">
        <v>30</v>
      </c>
      <c r="AG62" s="28">
        <v>31</v>
      </c>
      <c r="AH62" s="223" t="s">
        <v>18</v>
      </c>
      <c r="AI62" s="225" t="s">
        <v>20</v>
      </c>
      <c r="AJ62" s="230" t="s">
        <v>36</v>
      </c>
    </row>
    <row r="63" spans="1:36" s="1" customFormat="1" ht="29.1" customHeight="1" thickBot="1">
      <c r="A63" s="221"/>
      <c r="B63" s="222"/>
      <c r="C63" s="11" t="s">
        <v>8</v>
      </c>
      <c r="D63" s="12" t="s">
        <v>10</v>
      </c>
      <c r="E63" s="12" t="s">
        <v>12</v>
      </c>
      <c r="F63" s="12" t="s">
        <v>14</v>
      </c>
      <c r="G63" s="12" t="s">
        <v>15</v>
      </c>
      <c r="H63" s="12" t="s">
        <v>16</v>
      </c>
      <c r="I63" s="12" t="s">
        <v>17</v>
      </c>
      <c r="J63" s="12" t="s">
        <v>8</v>
      </c>
      <c r="K63" s="12" t="s">
        <v>10</v>
      </c>
      <c r="L63" s="12" t="s">
        <v>12</v>
      </c>
      <c r="M63" s="12" t="s">
        <v>14</v>
      </c>
      <c r="N63" s="12" t="s">
        <v>15</v>
      </c>
      <c r="O63" s="12" t="s">
        <v>16</v>
      </c>
      <c r="P63" s="12" t="s">
        <v>17</v>
      </c>
      <c r="Q63" s="12" t="s">
        <v>8</v>
      </c>
      <c r="R63" s="12" t="s">
        <v>10</v>
      </c>
      <c r="S63" s="12" t="s">
        <v>12</v>
      </c>
      <c r="T63" s="12" t="s">
        <v>14</v>
      </c>
      <c r="U63" s="12" t="s">
        <v>15</v>
      </c>
      <c r="V63" s="12" t="s">
        <v>16</v>
      </c>
      <c r="W63" s="12" t="s">
        <v>17</v>
      </c>
      <c r="X63" s="12" t="s">
        <v>8</v>
      </c>
      <c r="Y63" s="12" t="s">
        <v>10</v>
      </c>
      <c r="Z63" s="12" t="s">
        <v>12</v>
      </c>
      <c r="AA63" s="12" t="s">
        <v>14</v>
      </c>
      <c r="AB63" s="12" t="s">
        <v>15</v>
      </c>
      <c r="AC63" s="12" t="s">
        <v>16</v>
      </c>
      <c r="AD63" s="12" t="s">
        <v>17</v>
      </c>
      <c r="AE63" s="12" t="s">
        <v>8</v>
      </c>
      <c r="AF63" s="12" t="s">
        <v>10</v>
      </c>
      <c r="AG63" s="12" t="s">
        <v>12</v>
      </c>
      <c r="AH63" s="224"/>
      <c r="AI63" s="226"/>
      <c r="AJ63" s="231"/>
    </row>
    <row r="64" spans="1:36" ht="29.1" customHeight="1">
      <c r="A64" s="14">
        <v>101</v>
      </c>
      <c r="B64" s="19" t="s">
        <v>21</v>
      </c>
      <c r="C64" s="182"/>
      <c r="D64" s="165"/>
      <c r="E64" s="165"/>
      <c r="F64" s="165"/>
      <c r="G64" s="165"/>
      <c r="H64" s="165"/>
      <c r="I64" s="165"/>
      <c r="J64" s="165"/>
      <c r="K64" s="165" t="s">
        <v>3</v>
      </c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8"/>
      <c r="AH64" s="16">
        <f>IF(B64&lt;&gt;"",CountColorCells(C64:AG64))-COUNTIF(C64:AG64,"退房")</f>
        <v>8</v>
      </c>
      <c r="AI64" s="17">
        <f>AH64/31</f>
        <v>0.25806451612903225</v>
      </c>
      <c r="AJ64" s="57">
        <f t="shared" ref="AJ64:AJ69" si="15">COUNTIF(C64:AG64,"*退房*")</f>
        <v>1</v>
      </c>
    </row>
    <row r="65" spans="1:36" ht="29.1" customHeight="1">
      <c r="A65" s="23">
        <v>102</v>
      </c>
      <c r="B65" s="19" t="s">
        <v>5</v>
      </c>
      <c r="C65" s="167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65" t="s">
        <v>6</v>
      </c>
      <c r="AA65" s="165" t="s">
        <v>120</v>
      </c>
      <c r="AB65" s="165" t="s">
        <v>3</v>
      </c>
      <c r="AC65" s="141"/>
      <c r="AD65" s="141"/>
      <c r="AE65" s="141"/>
      <c r="AF65" s="141"/>
      <c r="AG65" s="143"/>
      <c r="AH65" s="21">
        <f>IF(B65&lt;&gt;"",CountColorCells(C65:AG65))-COUNTIF(C65:AG65,"退房")</f>
        <v>2</v>
      </c>
      <c r="AI65" s="22">
        <f t="shared" ref="AI65" si="16">AH65/31</f>
        <v>6.4516129032258063E-2</v>
      </c>
      <c r="AJ65" s="58">
        <f t="shared" si="15"/>
        <v>1</v>
      </c>
    </row>
    <row r="66" spans="1:36" ht="29.1" customHeight="1">
      <c r="A66" s="18">
        <v>201</v>
      </c>
      <c r="B66" s="19" t="s">
        <v>21</v>
      </c>
      <c r="C66" s="182"/>
      <c r="D66" s="165" t="s">
        <v>68</v>
      </c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 t="s">
        <v>3</v>
      </c>
      <c r="P66" s="141"/>
      <c r="Q66" s="141"/>
      <c r="R66" s="141"/>
      <c r="S66" s="141"/>
      <c r="T66" s="141"/>
      <c r="U66" s="141"/>
      <c r="V66" s="141"/>
      <c r="W66" s="141"/>
      <c r="X66" s="198"/>
      <c r="Y66" s="141"/>
      <c r="Z66" s="141"/>
      <c r="AA66" s="141"/>
      <c r="AB66" s="141"/>
      <c r="AC66" s="141"/>
      <c r="AD66" s="141"/>
      <c r="AE66" s="141"/>
      <c r="AF66" s="141"/>
      <c r="AG66" s="143"/>
      <c r="AH66" s="21">
        <f>IF(B66&lt;&gt;"",CountColorCells(C66:AG66))-COUNTIF(C66:AG66,"退房")</f>
        <v>12</v>
      </c>
      <c r="AI66" s="22">
        <f t="shared" ref="AI66:AI69" si="17">AH66/31</f>
        <v>0.38709677419354838</v>
      </c>
      <c r="AJ66" s="58">
        <f t="shared" si="15"/>
        <v>1</v>
      </c>
    </row>
    <row r="67" spans="1:36" ht="29.1" customHeight="1">
      <c r="A67" s="23">
        <v>202</v>
      </c>
      <c r="B67" s="19" t="s">
        <v>5</v>
      </c>
      <c r="C67" s="167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65" t="s">
        <v>6</v>
      </c>
      <c r="T67" s="165"/>
      <c r="U67" s="165" t="s">
        <v>110</v>
      </c>
      <c r="V67" s="165"/>
      <c r="W67" s="165"/>
      <c r="X67" s="165" t="s">
        <v>3</v>
      </c>
      <c r="Y67" s="141"/>
      <c r="Z67" s="141"/>
      <c r="AA67" s="141"/>
      <c r="AB67" s="141"/>
      <c r="AC67" s="141"/>
      <c r="AD67" s="141"/>
      <c r="AE67" s="141"/>
      <c r="AF67" s="141"/>
      <c r="AG67" s="143"/>
      <c r="AH67" s="21">
        <f>IF(B67&lt;&gt;"",CountColorCells(C67:AG67))-COUNTIF(C67:AG67,"退房")</f>
        <v>5</v>
      </c>
      <c r="AI67" s="22">
        <f t="shared" si="17"/>
        <v>0.16129032258064516</v>
      </c>
      <c r="AJ67" s="58">
        <f t="shared" si="15"/>
        <v>1</v>
      </c>
    </row>
    <row r="68" spans="1:36" ht="29.1" customHeight="1">
      <c r="A68" s="18">
        <v>301</v>
      </c>
      <c r="B68" s="19" t="s">
        <v>21</v>
      </c>
      <c r="C68" s="167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2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3"/>
      <c r="AH68" s="21">
        <f>IF(B68&lt;&gt;"",CountColorCells(C68:AG68))-COUNTIF(C68:AG68,"退房")</f>
        <v>0</v>
      </c>
      <c r="AI68" s="22">
        <f t="shared" si="17"/>
        <v>0</v>
      </c>
      <c r="AJ68" s="58">
        <f t="shared" si="15"/>
        <v>0</v>
      </c>
    </row>
    <row r="69" spans="1:36" ht="29.1" customHeight="1" thickBot="1">
      <c r="A69" s="24">
        <v>302</v>
      </c>
      <c r="B69" s="25" t="s">
        <v>5</v>
      </c>
      <c r="C69" s="189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6"/>
      <c r="AA69" s="156"/>
      <c r="AB69" s="156"/>
      <c r="AC69" s="156"/>
      <c r="AD69" s="153"/>
      <c r="AE69" s="153"/>
      <c r="AF69" s="153"/>
      <c r="AG69" s="178"/>
      <c r="AH69" s="26">
        <f>IF(B69&lt;&gt;"",CountColorCells(C69:AG69))-COUNTIF(C69:AG69,"退房")</f>
        <v>0</v>
      </c>
      <c r="AI69" s="27">
        <f t="shared" si="17"/>
        <v>0</v>
      </c>
      <c r="AJ69" s="59">
        <f t="shared" si="15"/>
        <v>0</v>
      </c>
    </row>
    <row r="70" spans="1:36" ht="29.1" customHeight="1">
      <c r="AH70" s="96">
        <f>SUM(AH64:AH69)</f>
        <v>27</v>
      </c>
      <c r="AI70" s="97">
        <f>AVERAGE(AI64:AI69)</f>
        <v>0.14516129032258066</v>
      </c>
    </row>
    <row r="71" spans="1:36" ht="29.1" customHeight="1" thickBot="1">
      <c r="C71" s="227">
        <v>46235</v>
      </c>
      <c r="D71" s="227"/>
      <c r="E71" s="227"/>
      <c r="F71" s="227"/>
      <c r="G71" s="34"/>
      <c r="H71" s="2" t="s">
        <v>4</v>
      </c>
      <c r="J71" s="3"/>
      <c r="K71" s="2" t="s">
        <v>1</v>
      </c>
      <c r="M71" s="4"/>
      <c r="N71" s="2" t="s">
        <v>2</v>
      </c>
      <c r="P71" s="5"/>
      <c r="Q71" s="6" t="s">
        <v>7</v>
      </c>
    </row>
    <row r="72" spans="1:36" s="1" customFormat="1" ht="29.1" customHeight="1">
      <c r="A72" s="219" t="s">
        <v>0</v>
      </c>
      <c r="B72" s="220"/>
      <c r="C72" s="8">
        <v>1</v>
      </c>
      <c r="D72" s="9">
        <v>2</v>
      </c>
      <c r="E72" s="9">
        <v>3</v>
      </c>
      <c r="F72" s="9">
        <v>4</v>
      </c>
      <c r="G72" s="9">
        <v>5</v>
      </c>
      <c r="H72" s="9">
        <v>6</v>
      </c>
      <c r="I72" s="9">
        <v>7</v>
      </c>
      <c r="J72" s="9">
        <v>8</v>
      </c>
      <c r="K72" s="129">
        <v>9</v>
      </c>
      <c r="L72" s="129">
        <v>10</v>
      </c>
      <c r="M72" s="129">
        <v>11</v>
      </c>
      <c r="N72" s="129">
        <v>12</v>
      </c>
      <c r="O72" s="129">
        <v>13</v>
      </c>
      <c r="P72" s="129">
        <v>14</v>
      </c>
      <c r="Q72" s="129">
        <v>15</v>
      </c>
      <c r="R72" s="129">
        <v>16</v>
      </c>
      <c r="S72" s="129">
        <v>17</v>
      </c>
      <c r="T72" s="9">
        <v>18</v>
      </c>
      <c r="U72" s="9">
        <v>19</v>
      </c>
      <c r="V72" s="9">
        <v>20</v>
      </c>
      <c r="W72" s="9">
        <v>21</v>
      </c>
      <c r="X72" s="9">
        <v>22</v>
      </c>
      <c r="Y72" s="9">
        <v>23</v>
      </c>
      <c r="Z72" s="9">
        <v>24</v>
      </c>
      <c r="AA72" s="9">
        <v>25</v>
      </c>
      <c r="AB72" s="9">
        <v>26</v>
      </c>
      <c r="AC72" s="9">
        <v>27</v>
      </c>
      <c r="AD72" s="9">
        <v>28</v>
      </c>
      <c r="AE72" s="9">
        <v>29</v>
      </c>
      <c r="AF72" s="9">
        <v>30</v>
      </c>
      <c r="AG72" s="28">
        <v>31</v>
      </c>
      <c r="AH72" s="223" t="s">
        <v>18</v>
      </c>
      <c r="AI72" s="225" t="s">
        <v>20</v>
      </c>
      <c r="AJ72" s="230" t="s">
        <v>36</v>
      </c>
    </row>
    <row r="73" spans="1:36" s="1" customFormat="1" ht="29.1" customHeight="1" thickBot="1">
      <c r="A73" s="221"/>
      <c r="B73" s="222"/>
      <c r="C73" s="11" t="s">
        <v>14</v>
      </c>
      <c r="D73" s="12" t="s">
        <v>15</v>
      </c>
      <c r="E73" s="12" t="s">
        <v>16</v>
      </c>
      <c r="F73" s="12" t="s">
        <v>17</v>
      </c>
      <c r="G73" s="12" t="s">
        <v>8</v>
      </c>
      <c r="H73" s="12" t="s">
        <v>10</v>
      </c>
      <c r="I73" s="12" t="s">
        <v>12</v>
      </c>
      <c r="J73" s="12" t="s">
        <v>14</v>
      </c>
      <c r="K73" s="132" t="s">
        <v>15</v>
      </c>
      <c r="L73" s="132" t="s">
        <v>16</v>
      </c>
      <c r="M73" s="132" t="s">
        <v>17</v>
      </c>
      <c r="N73" s="132" t="s">
        <v>8</v>
      </c>
      <c r="O73" s="132" t="s">
        <v>10</v>
      </c>
      <c r="P73" s="132" t="s">
        <v>12</v>
      </c>
      <c r="Q73" s="132" t="s">
        <v>14</v>
      </c>
      <c r="R73" s="132" t="s">
        <v>15</v>
      </c>
      <c r="S73" s="132" t="s">
        <v>16</v>
      </c>
      <c r="T73" s="12" t="s">
        <v>17</v>
      </c>
      <c r="U73" s="12" t="s">
        <v>8</v>
      </c>
      <c r="V73" s="12" t="s">
        <v>10</v>
      </c>
      <c r="W73" s="12" t="s">
        <v>12</v>
      </c>
      <c r="X73" s="12" t="s">
        <v>14</v>
      </c>
      <c r="Y73" s="12" t="s">
        <v>15</v>
      </c>
      <c r="Z73" s="12" t="s">
        <v>16</v>
      </c>
      <c r="AA73" s="12" t="s">
        <v>17</v>
      </c>
      <c r="AB73" s="12" t="s">
        <v>8</v>
      </c>
      <c r="AC73" s="12" t="s">
        <v>10</v>
      </c>
      <c r="AD73" s="12" t="s">
        <v>12</v>
      </c>
      <c r="AE73" s="12" t="s">
        <v>14</v>
      </c>
      <c r="AF73" s="12" t="s">
        <v>15</v>
      </c>
      <c r="AG73" s="12" t="s">
        <v>16</v>
      </c>
      <c r="AH73" s="224"/>
      <c r="AI73" s="226"/>
      <c r="AJ73" s="231"/>
    </row>
    <row r="74" spans="1:36" ht="29.1" customHeight="1">
      <c r="A74" s="14">
        <v>101</v>
      </c>
      <c r="B74" s="19" t="s">
        <v>35</v>
      </c>
      <c r="C74" s="202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8"/>
      <c r="AH74" s="16">
        <f>IF(B74&lt;&gt;"",CountColorCells(C74:AG74))-COUNTIF(C74:AG74,"退房")</f>
        <v>0</v>
      </c>
      <c r="AI74" s="17">
        <f>AH74/31</f>
        <v>0</v>
      </c>
      <c r="AJ74" s="57">
        <f t="shared" ref="AJ74:AJ79" si="18">COUNTIF(C74:AG74,"*退房*")</f>
        <v>0</v>
      </c>
    </row>
    <row r="75" spans="1:36" ht="29.1" customHeight="1">
      <c r="A75" s="23">
        <v>102</v>
      </c>
      <c r="B75" s="19" t="s">
        <v>5</v>
      </c>
      <c r="C75" s="167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41"/>
      <c r="V75" s="141"/>
      <c r="W75" s="141"/>
      <c r="X75" s="141"/>
      <c r="Y75" s="141"/>
      <c r="Z75" s="141"/>
      <c r="AA75" s="141"/>
      <c r="AB75" s="141"/>
      <c r="AC75" s="141"/>
      <c r="AD75" s="141"/>
      <c r="AE75" s="141"/>
      <c r="AF75" s="141"/>
      <c r="AG75" s="143"/>
      <c r="AH75" s="21">
        <f>IF(B75&lt;&gt;"",CountColorCells(C75:AG75))-COUNTIF(C75:AG75,"退房")</f>
        <v>0</v>
      </c>
      <c r="AI75" s="22">
        <f t="shared" ref="AI75" si="19">AH75/31</f>
        <v>0</v>
      </c>
      <c r="AJ75" s="58">
        <f t="shared" si="18"/>
        <v>0</v>
      </c>
    </row>
    <row r="76" spans="1:36" ht="29.1" customHeight="1">
      <c r="A76" s="18">
        <v>201</v>
      </c>
      <c r="B76" s="19" t="s">
        <v>21</v>
      </c>
      <c r="C76" s="167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98"/>
      <c r="Y76" s="141"/>
      <c r="Z76" s="141"/>
      <c r="AA76" s="141"/>
      <c r="AB76" s="141"/>
      <c r="AC76" s="141"/>
      <c r="AD76" s="141"/>
      <c r="AE76" s="141"/>
      <c r="AF76" s="141"/>
      <c r="AG76" s="143"/>
      <c r="AH76" s="21">
        <f>IF(B76&lt;&gt;"",CountColorCells(C76:AG76))-COUNTIF(C76:AG76,"退房")</f>
        <v>0</v>
      </c>
      <c r="AI76" s="22">
        <f t="shared" ref="AI76:AI79" si="20">AH76/31</f>
        <v>0</v>
      </c>
      <c r="AJ76" s="58">
        <f t="shared" si="18"/>
        <v>0</v>
      </c>
    </row>
    <row r="77" spans="1:36" ht="29.1" customHeight="1">
      <c r="A77" s="23">
        <v>202</v>
      </c>
      <c r="B77" s="19" t="s">
        <v>5</v>
      </c>
      <c r="C77" s="167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41"/>
      <c r="V77" s="141"/>
      <c r="W77" s="141"/>
      <c r="X77" s="141"/>
      <c r="Y77" s="141"/>
      <c r="Z77" s="141"/>
      <c r="AA77" s="141"/>
      <c r="AB77" s="141"/>
      <c r="AC77" s="141"/>
      <c r="AD77" s="141"/>
      <c r="AE77" s="141"/>
      <c r="AF77" s="141"/>
      <c r="AG77" s="143"/>
      <c r="AH77" s="21">
        <f>IF(B77&lt;&gt;"",CountColorCells(C77:AG77))-COUNTIF(C77:AG77,"退房")</f>
        <v>0</v>
      </c>
      <c r="AI77" s="22">
        <f t="shared" si="20"/>
        <v>0</v>
      </c>
      <c r="AJ77" s="58">
        <f t="shared" si="18"/>
        <v>0</v>
      </c>
    </row>
    <row r="78" spans="1:36" ht="29.1" customHeight="1">
      <c r="A78" s="18">
        <v>301</v>
      </c>
      <c r="B78" s="19" t="s">
        <v>21</v>
      </c>
      <c r="C78" s="167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41"/>
      <c r="V78" s="141"/>
      <c r="W78" s="141"/>
      <c r="X78" s="141"/>
      <c r="Y78" s="141"/>
      <c r="Z78" s="141"/>
      <c r="AA78" s="141"/>
      <c r="AB78" s="141"/>
      <c r="AC78" s="141"/>
      <c r="AD78" s="141"/>
      <c r="AE78" s="141"/>
      <c r="AF78" s="141"/>
      <c r="AG78" s="143"/>
      <c r="AH78" s="21">
        <f>IF(B78&lt;&gt;"",CountColorCells(C78:AG78))-COUNTIF(C78:AG78,"退房")</f>
        <v>0</v>
      </c>
      <c r="AI78" s="22">
        <f t="shared" si="20"/>
        <v>0</v>
      </c>
      <c r="AJ78" s="58">
        <f t="shared" si="18"/>
        <v>0</v>
      </c>
    </row>
    <row r="79" spans="1:36" ht="29.1" customHeight="1" thickBot="1">
      <c r="A79" s="24">
        <v>302</v>
      </c>
      <c r="B79" s="25" t="s">
        <v>5</v>
      </c>
      <c r="C79" s="189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76" t="s">
        <v>112</v>
      </c>
      <c r="W79" s="176"/>
      <c r="X79" s="191"/>
      <c r="Y79" s="192"/>
      <c r="Z79" s="192"/>
      <c r="AA79" s="192"/>
      <c r="AB79" s="192"/>
      <c r="AC79" s="192" t="s">
        <v>113</v>
      </c>
      <c r="AD79" s="153"/>
      <c r="AE79" s="153"/>
      <c r="AF79" s="153"/>
      <c r="AG79" s="178"/>
      <c r="AH79" s="26">
        <f>IF(B79&lt;&gt;"",CountColorCells(C79:AG79))-COUNTIF(C79:AG79,"退房")</f>
        <v>7</v>
      </c>
      <c r="AI79" s="27">
        <f t="shared" si="20"/>
        <v>0.22580645161290322</v>
      </c>
      <c r="AJ79" s="59">
        <f t="shared" si="18"/>
        <v>1</v>
      </c>
    </row>
    <row r="80" spans="1:36" ht="29.1" customHeight="1">
      <c r="AH80" s="96">
        <f>SUM(AH74:AH79)</f>
        <v>7</v>
      </c>
      <c r="AI80" s="97">
        <f>AVERAGE(AI74:AI79)</f>
        <v>3.7634408602150539E-2</v>
      </c>
    </row>
    <row r="81" spans="1:36" ht="29.1" customHeight="1" thickBot="1">
      <c r="C81" s="227">
        <v>46266</v>
      </c>
      <c r="D81" s="227"/>
      <c r="E81" s="227"/>
      <c r="F81" s="227"/>
      <c r="G81" s="34"/>
      <c r="H81" s="2" t="s">
        <v>4</v>
      </c>
      <c r="J81" s="3"/>
      <c r="K81" s="2" t="s">
        <v>1</v>
      </c>
      <c r="M81" s="4"/>
      <c r="N81" s="2" t="s">
        <v>2</v>
      </c>
      <c r="P81" s="5"/>
      <c r="Q81" s="6" t="s">
        <v>7</v>
      </c>
    </row>
    <row r="82" spans="1:36" s="1" customFormat="1" ht="29.1" customHeight="1">
      <c r="A82" s="219" t="s">
        <v>0</v>
      </c>
      <c r="B82" s="220"/>
      <c r="C82" s="8">
        <v>1</v>
      </c>
      <c r="D82" s="9">
        <v>2</v>
      </c>
      <c r="E82" s="9">
        <v>3</v>
      </c>
      <c r="F82" s="9">
        <v>4</v>
      </c>
      <c r="G82" s="9">
        <v>5</v>
      </c>
      <c r="H82" s="9">
        <v>6</v>
      </c>
      <c r="I82" s="9">
        <v>7</v>
      </c>
      <c r="J82" s="9">
        <v>8</v>
      </c>
      <c r="K82" s="9">
        <v>9</v>
      </c>
      <c r="L82" s="9">
        <v>10</v>
      </c>
      <c r="M82" s="9">
        <v>11</v>
      </c>
      <c r="N82" s="9">
        <v>12</v>
      </c>
      <c r="O82" s="9">
        <v>13</v>
      </c>
      <c r="P82" s="9">
        <v>14</v>
      </c>
      <c r="Q82" s="9">
        <v>15</v>
      </c>
      <c r="R82" s="9">
        <v>16</v>
      </c>
      <c r="S82" s="9">
        <v>17</v>
      </c>
      <c r="T82" s="9">
        <v>18</v>
      </c>
      <c r="U82" s="9">
        <v>19</v>
      </c>
      <c r="V82" s="9">
        <v>20</v>
      </c>
      <c r="W82" s="9">
        <v>21</v>
      </c>
      <c r="X82" s="9">
        <v>22</v>
      </c>
      <c r="Y82" s="9">
        <v>23</v>
      </c>
      <c r="Z82" s="9">
        <v>24</v>
      </c>
      <c r="AA82" s="9">
        <v>25</v>
      </c>
      <c r="AB82" s="9">
        <v>26</v>
      </c>
      <c r="AC82" s="9">
        <v>27</v>
      </c>
      <c r="AD82" s="9">
        <v>28</v>
      </c>
      <c r="AE82" s="9">
        <v>29</v>
      </c>
      <c r="AF82" s="9">
        <v>30</v>
      </c>
      <c r="AG82" s="28"/>
      <c r="AH82" s="223" t="s">
        <v>18</v>
      </c>
      <c r="AI82" s="225" t="s">
        <v>20</v>
      </c>
      <c r="AJ82" s="230" t="s">
        <v>36</v>
      </c>
    </row>
    <row r="83" spans="1:36" s="1" customFormat="1" ht="29.1" customHeight="1" thickBot="1">
      <c r="A83" s="221"/>
      <c r="B83" s="222"/>
      <c r="C83" s="11" t="s">
        <v>17</v>
      </c>
      <c r="D83" s="12" t="s">
        <v>8</v>
      </c>
      <c r="E83" s="12" t="s">
        <v>10</v>
      </c>
      <c r="F83" s="12" t="s">
        <v>12</v>
      </c>
      <c r="G83" s="12" t="s">
        <v>14</v>
      </c>
      <c r="H83" s="12" t="s">
        <v>15</v>
      </c>
      <c r="I83" s="12" t="s">
        <v>16</v>
      </c>
      <c r="J83" s="12" t="s">
        <v>17</v>
      </c>
      <c r="K83" s="12" t="s">
        <v>8</v>
      </c>
      <c r="L83" s="12" t="s">
        <v>10</v>
      </c>
      <c r="M83" s="12" t="s">
        <v>12</v>
      </c>
      <c r="N83" s="12" t="s">
        <v>14</v>
      </c>
      <c r="O83" s="12" t="s">
        <v>15</v>
      </c>
      <c r="P83" s="12" t="s">
        <v>16</v>
      </c>
      <c r="Q83" s="12" t="s">
        <v>17</v>
      </c>
      <c r="R83" s="12" t="s">
        <v>8</v>
      </c>
      <c r="S83" s="12" t="s">
        <v>10</v>
      </c>
      <c r="T83" s="12" t="s">
        <v>12</v>
      </c>
      <c r="U83" s="12" t="s">
        <v>14</v>
      </c>
      <c r="V83" s="12" t="s">
        <v>15</v>
      </c>
      <c r="W83" s="12" t="s">
        <v>16</v>
      </c>
      <c r="X83" s="12" t="s">
        <v>17</v>
      </c>
      <c r="Y83" s="12" t="s">
        <v>8</v>
      </c>
      <c r="Z83" s="12" t="s">
        <v>10</v>
      </c>
      <c r="AA83" s="12" t="s">
        <v>12</v>
      </c>
      <c r="AB83" s="12" t="s">
        <v>14</v>
      </c>
      <c r="AC83" s="12" t="s">
        <v>15</v>
      </c>
      <c r="AD83" s="12" t="s">
        <v>16</v>
      </c>
      <c r="AE83" s="12" t="s">
        <v>17</v>
      </c>
      <c r="AF83" s="12" t="s">
        <v>8</v>
      </c>
      <c r="AG83" s="12"/>
      <c r="AH83" s="224"/>
      <c r="AI83" s="226"/>
      <c r="AJ83" s="231"/>
    </row>
    <row r="84" spans="1:36" ht="29.1" customHeight="1">
      <c r="A84" s="14">
        <v>101</v>
      </c>
      <c r="B84" s="19" t="s">
        <v>21</v>
      </c>
      <c r="C84" s="202"/>
      <c r="D84" s="137"/>
      <c r="E84" s="137"/>
      <c r="F84" s="137"/>
      <c r="G84" s="137"/>
      <c r="H84" s="137"/>
      <c r="I84" s="137"/>
      <c r="J84" s="137"/>
      <c r="K84" s="161" t="s">
        <v>6</v>
      </c>
      <c r="L84" s="161"/>
      <c r="M84" s="161" t="s">
        <v>68</v>
      </c>
      <c r="N84" s="161"/>
      <c r="O84" s="161" t="s">
        <v>3</v>
      </c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8"/>
      <c r="AH84" s="16">
        <f>IF(B84&lt;&gt;"",CountColorCells(C84:AG84))-COUNTIF(C84:AG84,"退房")</f>
        <v>4</v>
      </c>
      <c r="AI84" s="17">
        <f>AH84/30</f>
        <v>0.13333333333333333</v>
      </c>
      <c r="AJ84" s="57">
        <f t="shared" ref="AJ84:AJ89" si="21">COUNTIF(C84:AG84,"*退房*")</f>
        <v>1</v>
      </c>
    </row>
    <row r="85" spans="1:36" ht="29.1" customHeight="1">
      <c r="A85" s="23">
        <v>102</v>
      </c>
      <c r="B85" s="19" t="s">
        <v>5</v>
      </c>
      <c r="C85" s="167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3"/>
      <c r="AH85" s="21">
        <f>IF(B85&lt;&gt;"",CountColorCells(C85:AG85))-COUNTIF(C85:AG85,"退房")</f>
        <v>0</v>
      </c>
      <c r="AI85" s="22">
        <f>AH85/30</f>
        <v>0</v>
      </c>
      <c r="AJ85" s="58">
        <f t="shared" si="21"/>
        <v>0</v>
      </c>
    </row>
    <row r="86" spans="1:36" ht="29.1" customHeight="1">
      <c r="A86" s="18">
        <v>201</v>
      </c>
      <c r="B86" s="19" t="s">
        <v>21</v>
      </c>
      <c r="C86" s="167"/>
      <c r="D86" s="141"/>
      <c r="E86" s="141"/>
      <c r="F86" s="141"/>
      <c r="G86" s="141"/>
      <c r="H86" s="141"/>
      <c r="I86" s="141"/>
      <c r="J86" s="141"/>
      <c r="K86" s="165" t="s">
        <v>6</v>
      </c>
      <c r="L86" s="165"/>
      <c r="M86" s="165" t="s">
        <v>68</v>
      </c>
      <c r="N86" s="165"/>
      <c r="O86" s="165" t="s">
        <v>3</v>
      </c>
      <c r="P86" s="141"/>
      <c r="Q86" s="141"/>
      <c r="R86" s="141"/>
      <c r="S86" s="141"/>
      <c r="T86" s="141"/>
      <c r="U86" s="141"/>
      <c r="V86" s="141"/>
      <c r="W86" s="141"/>
      <c r="X86" s="198"/>
      <c r="Y86" s="141"/>
      <c r="Z86" s="141"/>
      <c r="AA86" s="141"/>
      <c r="AB86" s="141"/>
      <c r="AC86" s="141"/>
      <c r="AD86" s="141"/>
      <c r="AE86" s="141"/>
      <c r="AF86" s="141"/>
      <c r="AG86" s="143"/>
      <c r="AH86" s="21">
        <f>IF(B86&lt;&gt;"",CountColorCells(C86:AG86))-COUNTIF(C86:AG86,"退房")</f>
        <v>4</v>
      </c>
      <c r="AI86" s="22">
        <f t="shared" ref="AI86:AI89" si="22">AH86/30</f>
        <v>0.13333333333333333</v>
      </c>
      <c r="AJ86" s="58">
        <f t="shared" si="21"/>
        <v>1</v>
      </c>
    </row>
    <row r="87" spans="1:36" ht="29.1" customHeight="1">
      <c r="A87" s="23">
        <v>202</v>
      </c>
      <c r="B87" s="19" t="s">
        <v>5</v>
      </c>
      <c r="C87" s="167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3"/>
      <c r="AH87" s="21">
        <f>IF(B87&lt;&gt;"",CountColorCells(C87:AG87))-COUNTIF(C87:AG87,"退房")</f>
        <v>0</v>
      </c>
      <c r="AI87" s="22">
        <f t="shared" si="22"/>
        <v>0</v>
      </c>
      <c r="AJ87" s="58">
        <f t="shared" si="21"/>
        <v>0</v>
      </c>
    </row>
    <row r="88" spans="1:36" ht="29.1" customHeight="1">
      <c r="A88" s="18">
        <v>301</v>
      </c>
      <c r="B88" s="19" t="s">
        <v>21</v>
      </c>
      <c r="C88" s="167"/>
      <c r="D88" s="141"/>
      <c r="E88" s="141"/>
      <c r="F88" s="141"/>
      <c r="G88" s="141"/>
      <c r="H88" s="141"/>
      <c r="I88" s="141"/>
      <c r="J88" s="141"/>
      <c r="K88" s="165" t="s">
        <v>6</v>
      </c>
      <c r="L88" s="165"/>
      <c r="M88" s="165" t="s">
        <v>68</v>
      </c>
      <c r="N88" s="165"/>
      <c r="O88" s="165" t="s">
        <v>3</v>
      </c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3"/>
      <c r="AH88" s="21">
        <f>IF(B88&lt;&gt;"",CountColorCells(C88:AG88))-COUNTIF(C88:AG88,"退房")</f>
        <v>4</v>
      </c>
      <c r="AI88" s="22">
        <f t="shared" si="22"/>
        <v>0.13333333333333333</v>
      </c>
      <c r="AJ88" s="58">
        <f t="shared" si="21"/>
        <v>1</v>
      </c>
    </row>
    <row r="89" spans="1:36" ht="29.1" customHeight="1" thickBot="1">
      <c r="A89" s="24">
        <v>302</v>
      </c>
      <c r="B89" s="25" t="s">
        <v>5</v>
      </c>
      <c r="C89" s="189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5"/>
      <c r="Y89" s="156"/>
      <c r="Z89" s="156"/>
      <c r="AA89" s="156"/>
      <c r="AB89" s="156"/>
      <c r="AC89" s="156"/>
      <c r="AD89" s="153"/>
      <c r="AE89" s="153"/>
      <c r="AF89" s="153"/>
      <c r="AG89" s="178"/>
      <c r="AH89" s="26">
        <f>IF(B89&lt;&gt;"",CountColorCells(C89:AG89))-COUNTIF(C89:AG89,"退房")</f>
        <v>0</v>
      </c>
      <c r="AI89" s="27">
        <f t="shared" si="22"/>
        <v>0</v>
      </c>
      <c r="AJ89" s="59">
        <f t="shared" si="21"/>
        <v>0</v>
      </c>
    </row>
    <row r="90" spans="1:36" ht="29.1" customHeight="1">
      <c r="AH90" s="96">
        <f>SUM(AH84:AH89)</f>
        <v>12</v>
      </c>
      <c r="AI90" s="97">
        <f>AVERAGE(AI84:AI89)</f>
        <v>6.6666666666666666E-2</v>
      </c>
    </row>
    <row r="91" spans="1:36" ht="29.1" customHeight="1" thickBot="1">
      <c r="C91" s="227">
        <v>46296</v>
      </c>
      <c r="D91" s="227"/>
      <c r="E91" s="227"/>
      <c r="F91" s="227"/>
      <c r="G91" s="34"/>
      <c r="H91" s="2" t="s">
        <v>4</v>
      </c>
      <c r="J91" s="3"/>
      <c r="K91" s="2" t="s">
        <v>1</v>
      </c>
      <c r="M91" s="4"/>
      <c r="N91" s="2" t="s">
        <v>2</v>
      </c>
      <c r="P91" s="5"/>
      <c r="Q91" s="6" t="s">
        <v>7</v>
      </c>
    </row>
    <row r="92" spans="1:36" s="1" customFormat="1" ht="29.1" customHeight="1">
      <c r="A92" s="219" t="s">
        <v>0</v>
      </c>
      <c r="B92" s="220"/>
      <c r="C92" s="8">
        <v>1</v>
      </c>
      <c r="D92" s="9">
        <v>2</v>
      </c>
      <c r="E92" s="9">
        <v>3</v>
      </c>
      <c r="F92" s="9">
        <v>4</v>
      </c>
      <c r="G92" s="9">
        <v>5</v>
      </c>
      <c r="H92" s="9">
        <v>6</v>
      </c>
      <c r="I92" s="9">
        <v>7</v>
      </c>
      <c r="J92" s="9">
        <v>8</v>
      </c>
      <c r="K92" s="9">
        <v>9</v>
      </c>
      <c r="L92" s="9">
        <v>10</v>
      </c>
      <c r="M92" s="9">
        <v>11</v>
      </c>
      <c r="N92" s="9">
        <v>12</v>
      </c>
      <c r="O92" s="9">
        <v>13</v>
      </c>
      <c r="P92" s="9">
        <v>14</v>
      </c>
      <c r="Q92" s="9">
        <v>15</v>
      </c>
      <c r="R92" s="9">
        <v>16</v>
      </c>
      <c r="S92" s="9">
        <v>17</v>
      </c>
      <c r="T92" s="9">
        <v>18</v>
      </c>
      <c r="U92" s="9">
        <v>19</v>
      </c>
      <c r="V92" s="9">
        <v>20</v>
      </c>
      <c r="W92" s="9">
        <v>21</v>
      </c>
      <c r="X92" s="9">
        <v>22</v>
      </c>
      <c r="Y92" s="9">
        <v>23</v>
      </c>
      <c r="Z92" s="9">
        <v>24</v>
      </c>
      <c r="AA92" s="9">
        <v>25</v>
      </c>
      <c r="AB92" s="9">
        <v>26</v>
      </c>
      <c r="AC92" s="9">
        <v>27</v>
      </c>
      <c r="AD92" s="9">
        <v>28</v>
      </c>
      <c r="AE92" s="9">
        <v>29</v>
      </c>
      <c r="AF92" s="9">
        <v>30</v>
      </c>
      <c r="AG92" s="28">
        <v>31</v>
      </c>
      <c r="AH92" s="223" t="s">
        <v>18</v>
      </c>
      <c r="AI92" s="225" t="s">
        <v>20</v>
      </c>
      <c r="AJ92" s="230" t="s">
        <v>36</v>
      </c>
    </row>
    <row r="93" spans="1:36" s="1" customFormat="1" ht="29.1" customHeight="1" thickBot="1">
      <c r="A93" s="221"/>
      <c r="B93" s="222"/>
      <c r="C93" s="11" t="s">
        <v>10</v>
      </c>
      <c r="D93" s="12" t="s">
        <v>12</v>
      </c>
      <c r="E93" s="12" t="s">
        <v>14</v>
      </c>
      <c r="F93" s="12" t="s">
        <v>15</v>
      </c>
      <c r="G93" s="12" t="s">
        <v>16</v>
      </c>
      <c r="H93" s="12" t="s">
        <v>17</v>
      </c>
      <c r="I93" s="12" t="s">
        <v>8</v>
      </c>
      <c r="J93" s="12" t="s">
        <v>10</v>
      </c>
      <c r="K93" s="12" t="s">
        <v>12</v>
      </c>
      <c r="L93" s="12" t="s">
        <v>14</v>
      </c>
      <c r="M93" s="12" t="s">
        <v>15</v>
      </c>
      <c r="N93" s="12" t="s">
        <v>16</v>
      </c>
      <c r="O93" s="216" t="s">
        <v>17</v>
      </c>
      <c r="P93" s="216" t="s">
        <v>8</v>
      </c>
      <c r="Q93" s="216" t="s">
        <v>10</v>
      </c>
      <c r="R93" s="216" t="s">
        <v>12</v>
      </c>
      <c r="S93" s="216" t="s">
        <v>14</v>
      </c>
      <c r="T93" s="216" t="s">
        <v>15</v>
      </c>
      <c r="U93" s="216" t="s">
        <v>16</v>
      </c>
      <c r="V93" s="216" t="s">
        <v>17</v>
      </c>
      <c r="W93" s="216" t="s">
        <v>8</v>
      </c>
      <c r="X93" s="216" t="s">
        <v>10</v>
      </c>
      <c r="Y93" s="216" t="s">
        <v>12</v>
      </c>
      <c r="Z93" s="216" t="s">
        <v>14</v>
      </c>
      <c r="AA93" s="216" t="s">
        <v>15</v>
      </c>
      <c r="AB93" s="216" t="s">
        <v>16</v>
      </c>
      <c r="AC93" s="216" t="s">
        <v>17</v>
      </c>
      <c r="AD93" s="12" t="s">
        <v>8</v>
      </c>
      <c r="AE93" s="12" t="s">
        <v>10</v>
      </c>
      <c r="AF93" s="12" t="s">
        <v>12</v>
      </c>
      <c r="AG93" s="12" t="s">
        <v>14</v>
      </c>
      <c r="AH93" s="224"/>
      <c r="AI93" s="226"/>
      <c r="AJ93" s="231"/>
    </row>
    <row r="94" spans="1:36" ht="29.1" customHeight="1">
      <c r="A94" s="14">
        <v>101</v>
      </c>
      <c r="B94" s="19" t="s">
        <v>21</v>
      </c>
      <c r="C94" s="202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217"/>
      <c r="P94" s="217"/>
      <c r="Q94" s="217"/>
      <c r="R94" s="217"/>
      <c r="S94" s="217"/>
      <c r="T94" s="217"/>
      <c r="U94" s="217"/>
      <c r="V94" s="217"/>
      <c r="W94" s="217"/>
      <c r="X94" s="217"/>
      <c r="Y94" s="217"/>
      <c r="Z94" s="217"/>
      <c r="AA94" s="217"/>
      <c r="AB94" s="217"/>
      <c r="AC94" s="217"/>
      <c r="AD94" s="137"/>
      <c r="AE94" s="137"/>
      <c r="AF94" s="137"/>
      <c r="AG94" s="138"/>
      <c r="AH94" s="16">
        <f>IF(B94&lt;&gt;"",CountColorCells(C94:AG94))-COUNTIF(C94:AG94,"退房")</f>
        <v>0</v>
      </c>
      <c r="AI94" s="17">
        <f>AH94/31</f>
        <v>0</v>
      </c>
      <c r="AJ94" s="57">
        <f t="shared" ref="AJ94:AJ99" si="23">COUNTIF(C94:AG94,"*退房*")</f>
        <v>0</v>
      </c>
    </row>
    <row r="95" spans="1:36" ht="29.1" customHeight="1">
      <c r="A95" s="23">
        <v>102</v>
      </c>
      <c r="B95" s="19" t="s">
        <v>5</v>
      </c>
      <c r="C95" s="167"/>
      <c r="D95" s="141"/>
      <c r="E95" s="141"/>
      <c r="F95" s="141"/>
      <c r="G95" s="165" t="s">
        <v>6</v>
      </c>
      <c r="H95" s="165" t="s">
        <v>3</v>
      </c>
      <c r="I95" s="141"/>
      <c r="J95" s="141"/>
      <c r="K95" s="141"/>
      <c r="L95" s="141"/>
      <c r="M95" s="141"/>
      <c r="N95" s="141"/>
      <c r="O95" s="161" t="s">
        <v>6</v>
      </c>
      <c r="P95" s="161"/>
      <c r="Q95" s="161" t="s">
        <v>122</v>
      </c>
      <c r="R95" s="161"/>
      <c r="S95" s="161" t="s">
        <v>121</v>
      </c>
      <c r="T95" s="161"/>
      <c r="U95" s="161"/>
      <c r="V95" s="161"/>
      <c r="W95" s="161"/>
      <c r="X95" s="161"/>
      <c r="Y95" s="161"/>
      <c r="Z95" s="161"/>
      <c r="AA95" s="161"/>
      <c r="AB95" s="161"/>
      <c r="AC95" s="161" t="s">
        <v>3</v>
      </c>
      <c r="AD95" s="141"/>
      <c r="AE95" s="141"/>
      <c r="AF95" s="141"/>
      <c r="AG95" s="143"/>
      <c r="AH95" s="21">
        <f>IF(B95&lt;&gt;"",CountColorCells(C95:AG95))-COUNTIF(C95:AG95,"退房")</f>
        <v>15</v>
      </c>
      <c r="AI95" s="22">
        <f t="shared" ref="AI95" si="24">AH95/31</f>
        <v>0.4838709677419355</v>
      </c>
      <c r="AJ95" s="58">
        <f t="shared" si="23"/>
        <v>2</v>
      </c>
    </row>
    <row r="96" spans="1:36" ht="29.1" customHeight="1">
      <c r="A96" s="18">
        <v>201</v>
      </c>
      <c r="B96" s="19" t="s">
        <v>21</v>
      </c>
      <c r="C96" s="167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217"/>
      <c r="U96" s="217"/>
      <c r="V96" s="217"/>
      <c r="W96" s="217"/>
      <c r="X96" s="217"/>
      <c r="Y96" s="141"/>
      <c r="Z96" s="141"/>
      <c r="AA96" s="141"/>
      <c r="AB96" s="141"/>
      <c r="AC96" s="141"/>
      <c r="AD96" s="141"/>
      <c r="AE96" s="141"/>
      <c r="AF96" s="141"/>
      <c r="AG96" s="143"/>
      <c r="AH96" s="21">
        <f>IF(B96&lt;&gt;"",CountColorCells(C96:AG96))-COUNTIF(C96:AG96,"退房")</f>
        <v>0</v>
      </c>
      <c r="AI96" s="22">
        <f t="shared" ref="AI96:AI99" si="25">AH96/31</f>
        <v>0</v>
      </c>
      <c r="AJ96" s="58">
        <f t="shared" si="23"/>
        <v>0</v>
      </c>
    </row>
    <row r="97" spans="1:36" ht="29.1" customHeight="1">
      <c r="A97" s="23">
        <v>202</v>
      </c>
      <c r="B97" s="19" t="s">
        <v>5</v>
      </c>
      <c r="C97" s="167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3"/>
      <c r="AH97" s="21">
        <f>IF(B97&lt;&gt;"",CountColorCells(C97:AG97))-COUNTIF(C97:AG97,"退房")</f>
        <v>0</v>
      </c>
      <c r="AI97" s="22">
        <f t="shared" si="25"/>
        <v>0</v>
      </c>
      <c r="AJ97" s="58">
        <f t="shared" si="23"/>
        <v>0</v>
      </c>
    </row>
    <row r="98" spans="1:36" ht="29.1" customHeight="1">
      <c r="A98" s="18">
        <v>301</v>
      </c>
      <c r="B98" s="19" t="s">
        <v>21</v>
      </c>
      <c r="C98" s="167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3"/>
      <c r="AH98" s="21">
        <f>IF(B98&lt;&gt;"",CountColorCells(C98:AG98))-COUNTIF(C98:AG98,"退房")</f>
        <v>0</v>
      </c>
      <c r="AI98" s="22">
        <f t="shared" si="25"/>
        <v>0</v>
      </c>
      <c r="AJ98" s="58">
        <f t="shared" si="23"/>
        <v>0</v>
      </c>
    </row>
    <row r="99" spans="1:36" ht="29.1" customHeight="1" thickBot="1">
      <c r="A99" s="24">
        <v>302</v>
      </c>
      <c r="B99" s="25" t="s">
        <v>5</v>
      </c>
      <c r="C99" s="189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65" t="s">
        <v>6</v>
      </c>
      <c r="U99" s="165" t="s">
        <v>124</v>
      </c>
      <c r="V99" s="165" t="s">
        <v>68</v>
      </c>
      <c r="W99" s="165"/>
      <c r="X99" s="170" t="s">
        <v>3</v>
      </c>
      <c r="Y99" s="156"/>
      <c r="Z99" s="156"/>
      <c r="AA99" s="156"/>
      <c r="AB99" s="156"/>
      <c r="AC99" s="156"/>
      <c r="AD99" s="153"/>
      <c r="AE99" s="153"/>
      <c r="AF99" s="153"/>
      <c r="AG99" s="178"/>
      <c r="AH99" s="26">
        <f>IF(B99&lt;&gt;"",CountColorCells(C99:AG99))-COUNTIF(C99:AG99,"退房")</f>
        <v>4</v>
      </c>
      <c r="AI99" s="27">
        <f t="shared" si="25"/>
        <v>0.12903225806451613</v>
      </c>
      <c r="AJ99" s="59">
        <f t="shared" si="23"/>
        <v>1</v>
      </c>
    </row>
    <row r="100" spans="1:36" ht="29.1" customHeight="1">
      <c r="AH100" s="96">
        <f>SUM(AH94:AH99)</f>
        <v>19</v>
      </c>
      <c r="AI100" s="97">
        <f>AVERAGE(AI94:AI99)</f>
        <v>0.10215053763440861</v>
      </c>
    </row>
    <row r="101" spans="1:36" ht="29.1" customHeight="1" thickBot="1">
      <c r="C101" s="227">
        <v>46327</v>
      </c>
      <c r="D101" s="227"/>
      <c r="E101" s="227"/>
      <c r="F101" s="227"/>
      <c r="G101" s="34"/>
      <c r="H101" s="2" t="s">
        <v>4</v>
      </c>
      <c r="J101" s="3"/>
      <c r="K101" s="2" t="s">
        <v>1</v>
      </c>
      <c r="M101" s="4"/>
      <c r="N101" s="2" t="s">
        <v>2</v>
      </c>
      <c r="P101" s="5"/>
      <c r="Q101" s="6" t="s">
        <v>7</v>
      </c>
    </row>
    <row r="102" spans="1:36" s="1" customFormat="1" ht="29.1" customHeight="1">
      <c r="A102" s="219" t="s">
        <v>0</v>
      </c>
      <c r="B102" s="220"/>
      <c r="C102" s="8">
        <v>1</v>
      </c>
      <c r="D102" s="9">
        <v>2</v>
      </c>
      <c r="E102" s="9">
        <v>3</v>
      </c>
      <c r="F102" s="9">
        <v>4</v>
      </c>
      <c r="G102" s="9">
        <v>5</v>
      </c>
      <c r="H102" s="9">
        <v>6</v>
      </c>
      <c r="I102" s="9">
        <v>7</v>
      </c>
      <c r="J102" s="9">
        <v>8</v>
      </c>
      <c r="K102" s="9">
        <v>9</v>
      </c>
      <c r="L102" s="9">
        <v>10</v>
      </c>
      <c r="M102" s="9">
        <v>11</v>
      </c>
      <c r="N102" s="9">
        <v>12</v>
      </c>
      <c r="O102" s="9">
        <v>13</v>
      </c>
      <c r="P102" s="9">
        <v>14</v>
      </c>
      <c r="Q102" s="9">
        <v>15</v>
      </c>
      <c r="R102" s="9">
        <v>16</v>
      </c>
      <c r="S102" s="9">
        <v>17</v>
      </c>
      <c r="T102" s="9">
        <v>18</v>
      </c>
      <c r="U102" s="9">
        <v>19</v>
      </c>
      <c r="V102" s="9">
        <v>20</v>
      </c>
      <c r="W102" s="9">
        <v>21</v>
      </c>
      <c r="X102" s="9">
        <v>22</v>
      </c>
      <c r="Y102" s="9">
        <v>23</v>
      </c>
      <c r="Z102" s="9">
        <v>24</v>
      </c>
      <c r="AA102" s="9">
        <v>25</v>
      </c>
      <c r="AB102" s="9">
        <v>26</v>
      </c>
      <c r="AC102" s="9">
        <v>27</v>
      </c>
      <c r="AD102" s="9">
        <v>28</v>
      </c>
      <c r="AE102" s="9">
        <v>29</v>
      </c>
      <c r="AF102" s="9">
        <v>30</v>
      </c>
      <c r="AG102" s="28"/>
      <c r="AH102" s="223" t="s">
        <v>18</v>
      </c>
      <c r="AI102" s="225" t="s">
        <v>20</v>
      </c>
      <c r="AJ102" s="230" t="s">
        <v>36</v>
      </c>
    </row>
    <row r="103" spans="1:36" s="1" customFormat="1" ht="29.1" customHeight="1" thickBot="1">
      <c r="A103" s="221"/>
      <c r="B103" s="222"/>
      <c r="C103" s="11" t="s">
        <v>15</v>
      </c>
      <c r="D103" s="12" t="s">
        <v>16</v>
      </c>
      <c r="E103" s="12" t="s">
        <v>17</v>
      </c>
      <c r="F103" s="12" t="s">
        <v>8</v>
      </c>
      <c r="G103" s="12" t="s">
        <v>10</v>
      </c>
      <c r="H103" s="12" t="s">
        <v>12</v>
      </c>
      <c r="I103" s="12" t="s">
        <v>14</v>
      </c>
      <c r="J103" s="12" t="s">
        <v>15</v>
      </c>
      <c r="K103" s="12" t="s">
        <v>16</v>
      </c>
      <c r="L103" s="12" t="s">
        <v>17</v>
      </c>
      <c r="M103" s="12" t="s">
        <v>8</v>
      </c>
      <c r="N103" s="12" t="s">
        <v>10</v>
      </c>
      <c r="O103" s="12" t="s">
        <v>12</v>
      </c>
      <c r="P103" s="12" t="s">
        <v>14</v>
      </c>
      <c r="Q103" s="12" t="s">
        <v>15</v>
      </c>
      <c r="R103" s="12" t="s">
        <v>16</v>
      </c>
      <c r="S103" s="12" t="s">
        <v>17</v>
      </c>
      <c r="T103" s="12" t="s">
        <v>8</v>
      </c>
      <c r="U103" s="12" t="s">
        <v>10</v>
      </c>
      <c r="V103" s="12" t="s">
        <v>12</v>
      </c>
      <c r="W103" s="12" t="s">
        <v>14</v>
      </c>
      <c r="X103" s="12" t="s">
        <v>15</v>
      </c>
      <c r="Y103" s="12" t="s">
        <v>16</v>
      </c>
      <c r="Z103" s="12" t="s">
        <v>17</v>
      </c>
      <c r="AA103" s="12" t="s">
        <v>8</v>
      </c>
      <c r="AB103" s="12" t="s">
        <v>10</v>
      </c>
      <c r="AC103" s="12" t="s">
        <v>12</v>
      </c>
      <c r="AD103" s="12" t="s">
        <v>14</v>
      </c>
      <c r="AE103" s="12" t="s">
        <v>15</v>
      </c>
      <c r="AF103" s="12" t="s">
        <v>16</v>
      </c>
      <c r="AG103" s="12"/>
      <c r="AH103" s="224"/>
      <c r="AI103" s="226"/>
      <c r="AJ103" s="231"/>
    </row>
    <row r="104" spans="1:36" ht="29.1" customHeight="1">
      <c r="A104" s="14">
        <v>101</v>
      </c>
      <c r="B104" s="19" t="s">
        <v>21</v>
      </c>
      <c r="C104" s="202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8"/>
      <c r="AH104" s="16">
        <f>IF(B104&lt;&gt;"",CountColorCells(C104:AG104))-COUNTIF(C104:AG104,"退房")</f>
        <v>0</v>
      </c>
      <c r="AI104" s="17">
        <f>AH104/30</f>
        <v>0</v>
      </c>
      <c r="AJ104" s="57">
        <f t="shared" ref="AJ104:AJ109" si="26">COUNTIF(C104:AG104,"*退房*")</f>
        <v>0</v>
      </c>
    </row>
    <row r="105" spans="1:36" ht="29.1" customHeight="1">
      <c r="A105" s="23">
        <v>102</v>
      </c>
      <c r="B105" s="19" t="s">
        <v>5</v>
      </c>
      <c r="C105" s="167"/>
      <c r="D105" s="141"/>
      <c r="E105" s="165" t="s">
        <v>6</v>
      </c>
      <c r="F105" s="165"/>
      <c r="G105" s="165" t="s">
        <v>122</v>
      </c>
      <c r="H105" s="165" t="s">
        <v>123</v>
      </c>
      <c r="I105" s="165"/>
      <c r="J105" s="165" t="s">
        <v>3</v>
      </c>
      <c r="K105" s="218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3"/>
      <c r="AH105" s="21">
        <f>IF(B105&lt;&gt;"",CountColorCells(C105:AG105))-COUNTIF(C105:AG105,"退房")</f>
        <v>5</v>
      </c>
      <c r="AI105" s="22">
        <f>AH105/30</f>
        <v>0.16666666666666666</v>
      </c>
      <c r="AJ105" s="58">
        <f t="shared" si="26"/>
        <v>1</v>
      </c>
    </row>
    <row r="106" spans="1:36" ht="29.1" customHeight="1">
      <c r="A106" s="18">
        <v>201</v>
      </c>
      <c r="B106" s="19" t="s">
        <v>21</v>
      </c>
      <c r="C106" s="167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98"/>
      <c r="Y106" s="141"/>
      <c r="Z106" s="141"/>
      <c r="AA106" s="141"/>
      <c r="AB106" s="141"/>
      <c r="AC106" s="141"/>
      <c r="AD106" s="141"/>
      <c r="AE106" s="141"/>
      <c r="AF106" s="141"/>
      <c r="AG106" s="143"/>
      <c r="AH106" s="21">
        <f>IF(B106&lt;&gt;"",CountColorCells(C106:AG106))-COUNTIF(C106:AG106,"退房")</f>
        <v>0</v>
      </c>
      <c r="AI106" s="22">
        <f t="shared" ref="AI106:AI109" si="27">AH106/30</f>
        <v>0</v>
      </c>
      <c r="AJ106" s="58">
        <f t="shared" si="26"/>
        <v>0</v>
      </c>
    </row>
    <row r="107" spans="1:36" ht="29.1" customHeight="1">
      <c r="A107" s="23">
        <v>202</v>
      </c>
      <c r="B107" s="19" t="s">
        <v>5</v>
      </c>
      <c r="C107" s="167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3"/>
      <c r="AH107" s="21">
        <f>IF(B107&lt;&gt;"",CountColorCells(C107:AG107))-COUNTIF(C107:AG107,"退房")</f>
        <v>0</v>
      </c>
      <c r="AI107" s="22">
        <f t="shared" si="27"/>
        <v>0</v>
      </c>
      <c r="AJ107" s="58">
        <f t="shared" si="26"/>
        <v>0</v>
      </c>
    </row>
    <row r="108" spans="1:36" ht="29.1" customHeight="1">
      <c r="A108" s="18">
        <v>301</v>
      </c>
      <c r="B108" s="19" t="s">
        <v>21</v>
      </c>
      <c r="C108" s="167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3"/>
      <c r="AH108" s="21">
        <f>IF(B108&lt;&gt;"",CountColorCells(C108:AG108))-COUNTIF(C108:AG108,"退房")</f>
        <v>0</v>
      </c>
      <c r="AI108" s="22">
        <f t="shared" si="27"/>
        <v>0</v>
      </c>
      <c r="AJ108" s="58">
        <f t="shared" si="26"/>
        <v>0</v>
      </c>
    </row>
    <row r="109" spans="1:36" ht="29.1" customHeight="1" thickBot="1">
      <c r="A109" s="24">
        <v>302</v>
      </c>
      <c r="B109" s="25" t="s">
        <v>5</v>
      </c>
      <c r="C109" s="189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76" t="s">
        <v>6</v>
      </c>
      <c r="U109" s="176"/>
      <c r="V109" s="176"/>
      <c r="W109" s="176" t="s">
        <v>116</v>
      </c>
      <c r="X109" s="191"/>
      <c r="Y109" s="192"/>
      <c r="Z109" s="192"/>
      <c r="AA109" s="192"/>
      <c r="AB109" s="192"/>
      <c r="AC109" s="192" t="s">
        <v>3</v>
      </c>
      <c r="AD109" s="153"/>
      <c r="AE109" s="153"/>
      <c r="AF109" s="153"/>
      <c r="AG109" s="178"/>
      <c r="AH109" s="26">
        <f>IF(B109&lt;&gt;"",CountColorCells(C109:AG109))-COUNTIF(C109:AG109,"退房")</f>
        <v>9</v>
      </c>
      <c r="AI109" s="27">
        <f t="shared" si="27"/>
        <v>0.3</v>
      </c>
      <c r="AJ109" s="59">
        <f t="shared" si="26"/>
        <v>1</v>
      </c>
    </row>
    <row r="110" spans="1:36" ht="29.1" customHeight="1">
      <c r="AH110" s="96">
        <f>SUM(AH104:AH109)</f>
        <v>14</v>
      </c>
      <c r="AI110" s="97">
        <f>AVERAGE(AI104:AI109)</f>
        <v>7.7777777777777779E-2</v>
      </c>
    </row>
    <row r="111" spans="1:36" ht="29.1" customHeight="1" thickBot="1">
      <c r="C111" s="227">
        <v>46357</v>
      </c>
      <c r="D111" s="227"/>
      <c r="E111" s="227"/>
      <c r="F111" s="227"/>
      <c r="G111" s="34"/>
      <c r="H111" s="2" t="s">
        <v>4</v>
      </c>
      <c r="J111" s="3"/>
      <c r="K111" s="2" t="s">
        <v>1</v>
      </c>
      <c r="M111" s="4"/>
      <c r="N111" s="2" t="s">
        <v>2</v>
      </c>
      <c r="P111" s="5"/>
      <c r="Q111" s="6" t="s">
        <v>7</v>
      </c>
    </row>
    <row r="112" spans="1:36" s="1" customFormat="1" ht="29.1" customHeight="1">
      <c r="A112" s="219" t="s">
        <v>0</v>
      </c>
      <c r="B112" s="220"/>
      <c r="C112" s="8">
        <v>1</v>
      </c>
      <c r="D112" s="9">
        <v>2</v>
      </c>
      <c r="E112" s="9">
        <v>3</v>
      </c>
      <c r="F112" s="9">
        <v>4</v>
      </c>
      <c r="G112" s="9">
        <v>5</v>
      </c>
      <c r="H112" s="9">
        <v>6</v>
      </c>
      <c r="I112" s="9">
        <v>7</v>
      </c>
      <c r="J112" s="9">
        <v>8</v>
      </c>
      <c r="K112" s="9">
        <v>9</v>
      </c>
      <c r="L112" s="9">
        <v>10</v>
      </c>
      <c r="M112" s="9">
        <v>11</v>
      </c>
      <c r="N112" s="9">
        <v>12</v>
      </c>
      <c r="O112" s="9">
        <v>13</v>
      </c>
      <c r="P112" s="9">
        <v>14</v>
      </c>
      <c r="Q112" s="9">
        <v>15</v>
      </c>
      <c r="R112" s="9">
        <v>16</v>
      </c>
      <c r="S112" s="9">
        <v>17</v>
      </c>
      <c r="T112" s="9">
        <v>18</v>
      </c>
      <c r="U112" s="9">
        <v>19</v>
      </c>
      <c r="V112" s="9">
        <v>20</v>
      </c>
      <c r="W112" s="9">
        <v>21</v>
      </c>
      <c r="X112" s="9">
        <v>22</v>
      </c>
      <c r="Y112" s="9">
        <v>23</v>
      </c>
      <c r="Z112" s="129">
        <v>24</v>
      </c>
      <c r="AA112" s="129">
        <v>25</v>
      </c>
      <c r="AB112" s="129">
        <v>26</v>
      </c>
      <c r="AC112" s="129">
        <v>27</v>
      </c>
      <c r="AD112" s="129">
        <v>28</v>
      </c>
      <c r="AE112" s="129">
        <v>29</v>
      </c>
      <c r="AF112" s="129">
        <v>30</v>
      </c>
      <c r="AG112" s="134">
        <v>31</v>
      </c>
      <c r="AH112" s="223" t="s">
        <v>18</v>
      </c>
      <c r="AI112" s="225" t="s">
        <v>20</v>
      </c>
      <c r="AJ112" s="230" t="s">
        <v>36</v>
      </c>
    </row>
    <row r="113" spans="1:36" s="1" customFormat="1" ht="29.1" customHeight="1" thickBot="1">
      <c r="A113" s="221"/>
      <c r="B113" s="222"/>
      <c r="C113" s="11" t="s">
        <v>17</v>
      </c>
      <c r="D113" s="12" t="s">
        <v>8</v>
      </c>
      <c r="E113" s="12" t="s">
        <v>10</v>
      </c>
      <c r="F113" s="12" t="s">
        <v>12</v>
      </c>
      <c r="G113" s="12" t="s">
        <v>14</v>
      </c>
      <c r="H113" s="12" t="s">
        <v>15</v>
      </c>
      <c r="I113" s="12" t="s">
        <v>16</v>
      </c>
      <c r="J113" s="12" t="s">
        <v>17</v>
      </c>
      <c r="K113" s="12" t="s">
        <v>8</v>
      </c>
      <c r="L113" s="12" t="s">
        <v>10</v>
      </c>
      <c r="M113" s="12" t="s">
        <v>12</v>
      </c>
      <c r="N113" s="12" t="s">
        <v>14</v>
      </c>
      <c r="O113" s="12" t="s">
        <v>15</v>
      </c>
      <c r="P113" s="12" t="s">
        <v>16</v>
      </c>
      <c r="Q113" s="12" t="s">
        <v>17</v>
      </c>
      <c r="R113" s="12" t="s">
        <v>8</v>
      </c>
      <c r="S113" s="12" t="s">
        <v>10</v>
      </c>
      <c r="T113" s="12" t="s">
        <v>12</v>
      </c>
      <c r="U113" s="12" t="s">
        <v>14</v>
      </c>
      <c r="V113" s="12" t="s">
        <v>15</v>
      </c>
      <c r="W113" s="12" t="s">
        <v>16</v>
      </c>
      <c r="X113" s="12" t="s">
        <v>17</v>
      </c>
      <c r="Y113" s="12" t="s">
        <v>8</v>
      </c>
      <c r="Z113" s="132" t="s">
        <v>10</v>
      </c>
      <c r="AA113" s="132" t="s">
        <v>12</v>
      </c>
      <c r="AB113" s="132" t="s">
        <v>14</v>
      </c>
      <c r="AC113" s="132" t="s">
        <v>15</v>
      </c>
      <c r="AD113" s="132" t="s">
        <v>16</v>
      </c>
      <c r="AE113" s="132" t="s">
        <v>17</v>
      </c>
      <c r="AF113" s="132" t="s">
        <v>8</v>
      </c>
      <c r="AG113" s="132" t="s">
        <v>10</v>
      </c>
      <c r="AH113" s="224"/>
      <c r="AI113" s="226"/>
      <c r="AJ113" s="231"/>
    </row>
    <row r="114" spans="1:36" ht="29.1" customHeight="1">
      <c r="A114" s="14">
        <v>101</v>
      </c>
      <c r="B114" s="19" t="s">
        <v>21</v>
      </c>
      <c r="C114" s="202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  <c r="AG114" s="138"/>
      <c r="AH114" s="16">
        <f>IF(B114&lt;&gt;"",CountColorCells(C114:AG114))-COUNTIF(C114:AG114,"退房")</f>
        <v>0</v>
      </c>
      <c r="AI114" s="17">
        <f>AH114/31</f>
        <v>0</v>
      </c>
      <c r="AJ114" s="57">
        <f t="shared" ref="AJ114:AJ119" si="28">COUNTIF(C114:AG114,"*退房*")</f>
        <v>0</v>
      </c>
    </row>
    <row r="115" spans="1:36" ht="29.1" customHeight="1">
      <c r="A115" s="23">
        <v>102</v>
      </c>
      <c r="B115" s="19" t="s">
        <v>5</v>
      </c>
      <c r="C115" s="167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3"/>
      <c r="AH115" s="21">
        <f>IF(B115&lt;&gt;"",CountColorCells(C115:AG115))-COUNTIF(C115:AG115,"退房")</f>
        <v>0</v>
      </c>
      <c r="AI115" s="22">
        <f t="shared" ref="AI115" si="29">AH115/31</f>
        <v>0</v>
      </c>
      <c r="AJ115" s="58">
        <f t="shared" si="28"/>
        <v>0</v>
      </c>
    </row>
    <row r="116" spans="1:36" ht="29.1" customHeight="1">
      <c r="A116" s="18">
        <v>201</v>
      </c>
      <c r="B116" s="19" t="s">
        <v>21</v>
      </c>
      <c r="C116" s="167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98"/>
      <c r="Y116" s="141"/>
      <c r="Z116" s="141"/>
      <c r="AA116" s="141"/>
      <c r="AB116" s="141"/>
      <c r="AC116" s="141"/>
      <c r="AD116" s="141"/>
      <c r="AE116" s="141"/>
      <c r="AF116" s="141"/>
      <c r="AG116" s="143"/>
      <c r="AH116" s="21">
        <f>IF(B116&lt;&gt;"",CountColorCells(C116:AG116))-COUNTIF(C116:AG116,"退房")</f>
        <v>0</v>
      </c>
      <c r="AI116" s="22">
        <f t="shared" ref="AI116:AI119" si="30">AH116/31</f>
        <v>0</v>
      </c>
      <c r="AJ116" s="58">
        <f t="shared" si="28"/>
        <v>0</v>
      </c>
    </row>
    <row r="117" spans="1:36" ht="29.1" customHeight="1">
      <c r="A117" s="23">
        <v>202</v>
      </c>
      <c r="B117" s="19" t="s">
        <v>5</v>
      </c>
      <c r="C117" s="167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3"/>
      <c r="AH117" s="21">
        <f>IF(B117&lt;&gt;"",CountColorCells(C117:AG117))-COUNTIF(C117:AG117,"退房")</f>
        <v>0</v>
      </c>
      <c r="AI117" s="22">
        <f t="shared" si="30"/>
        <v>0</v>
      </c>
      <c r="AJ117" s="58">
        <f t="shared" si="28"/>
        <v>0</v>
      </c>
    </row>
    <row r="118" spans="1:36" ht="29.1" customHeight="1">
      <c r="A118" s="18">
        <v>301</v>
      </c>
      <c r="B118" s="19" t="s">
        <v>21</v>
      </c>
      <c r="C118" s="167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3"/>
      <c r="AH118" s="21">
        <f>IF(B118&lt;&gt;"",CountColorCells(C118:AG118))-COUNTIF(C118:AG118,"退房")</f>
        <v>0</v>
      </c>
      <c r="AI118" s="22">
        <f t="shared" si="30"/>
        <v>0</v>
      </c>
      <c r="AJ118" s="58">
        <f t="shared" si="28"/>
        <v>0</v>
      </c>
    </row>
    <row r="119" spans="1:36" ht="29.1" customHeight="1" thickBot="1">
      <c r="A119" s="24">
        <v>302</v>
      </c>
      <c r="B119" s="25" t="s">
        <v>5</v>
      </c>
      <c r="C119" s="189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5"/>
      <c r="Y119" s="156"/>
      <c r="Z119" s="156"/>
      <c r="AA119" s="156"/>
      <c r="AB119" s="156"/>
      <c r="AC119" s="156"/>
      <c r="AD119" s="153"/>
      <c r="AE119" s="153"/>
      <c r="AF119" s="153"/>
      <c r="AG119" s="178"/>
      <c r="AH119" s="26">
        <f>IF(B119&lt;&gt;"",CountColorCells(C119:AG119))-COUNTIF(C119:AG119,"退房")</f>
        <v>0</v>
      </c>
      <c r="AI119" s="27">
        <f t="shared" si="30"/>
        <v>0</v>
      </c>
      <c r="AJ119" s="59">
        <f t="shared" si="28"/>
        <v>0</v>
      </c>
    </row>
    <row r="120" spans="1:36" ht="29.1" customHeight="1">
      <c r="AH120" s="96">
        <f>SUM(AH114:AH119)</f>
        <v>0</v>
      </c>
      <c r="AI120" s="97">
        <f>AVERAGE(AI114:AI119)</f>
        <v>0</v>
      </c>
    </row>
  </sheetData>
  <mergeCells count="60">
    <mergeCell ref="AJ102:AJ103"/>
    <mergeCell ref="AJ112:AJ113"/>
    <mergeCell ref="AJ52:AJ53"/>
    <mergeCell ref="AJ62:AJ63"/>
    <mergeCell ref="AJ72:AJ73"/>
    <mergeCell ref="AJ82:AJ83"/>
    <mergeCell ref="AJ92:AJ93"/>
    <mergeCell ref="AJ2:AJ3"/>
    <mergeCell ref="AJ12:AJ13"/>
    <mergeCell ref="AJ22:AJ23"/>
    <mergeCell ref="AJ32:AJ33"/>
    <mergeCell ref="AJ42:AJ43"/>
    <mergeCell ref="A112:B113"/>
    <mergeCell ref="AH112:AH113"/>
    <mergeCell ref="AI112:AI113"/>
    <mergeCell ref="C81:F81"/>
    <mergeCell ref="A82:B83"/>
    <mergeCell ref="AH82:AH83"/>
    <mergeCell ref="AI82:AI83"/>
    <mergeCell ref="C91:F91"/>
    <mergeCell ref="A92:B93"/>
    <mergeCell ref="AH92:AH93"/>
    <mergeCell ref="AI92:AI93"/>
    <mergeCell ref="C101:F101"/>
    <mergeCell ref="A102:B103"/>
    <mergeCell ref="AH102:AH103"/>
    <mergeCell ref="AI102:AI103"/>
    <mergeCell ref="C111:F111"/>
    <mergeCell ref="A72:B73"/>
    <mergeCell ref="AH72:AH73"/>
    <mergeCell ref="AI72:AI73"/>
    <mergeCell ref="C41:F41"/>
    <mergeCell ref="A42:B43"/>
    <mergeCell ref="AH42:AH43"/>
    <mergeCell ref="AI42:AI43"/>
    <mergeCell ref="C51:F51"/>
    <mergeCell ref="A52:B53"/>
    <mergeCell ref="AH52:AH53"/>
    <mergeCell ref="AI52:AI53"/>
    <mergeCell ref="C61:F61"/>
    <mergeCell ref="A62:B63"/>
    <mergeCell ref="AH62:AH63"/>
    <mergeCell ref="AI62:AI63"/>
    <mergeCell ref="C71:F71"/>
    <mergeCell ref="A32:B33"/>
    <mergeCell ref="AH32:AH33"/>
    <mergeCell ref="AI32:AI33"/>
    <mergeCell ref="C1:F1"/>
    <mergeCell ref="A2:B3"/>
    <mergeCell ref="AH2:AH3"/>
    <mergeCell ref="AI2:AI3"/>
    <mergeCell ref="C11:F11"/>
    <mergeCell ref="A12:B13"/>
    <mergeCell ref="AH12:AH13"/>
    <mergeCell ref="AI12:AI13"/>
    <mergeCell ref="C21:F21"/>
    <mergeCell ref="A22:B23"/>
    <mergeCell ref="AH22:AH23"/>
    <mergeCell ref="AI22:AI23"/>
    <mergeCell ref="C31:F31"/>
  </mergeCells>
  <phoneticPr fontId="1"/>
  <printOptions horizontalCentered="1" verticalCentered="1"/>
  <pageMargins left="0.39370078740157483" right="0.39370078740157483" top="0.39370078740157483" bottom="0.19685039370078741" header="0.31496062992125984" footer="0.31496062992125984"/>
  <pageSetup paperSize="9" scale="63" fitToHeight="0" orientation="landscape" horizontalDpi="300" verticalDpi="300" r:id="rId1"/>
  <rowBreaks count="3" manualBreakCount="3">
    <brk id="30" max="35" man="1"/>
    <brk id="60" max="35" man="1"/>
    <brk id="90" max="35" man="1"/>
  </row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2025年</vt:lpstr>
      <vt:lpstr>2026年</vt:lpstr>
      <vt:lpstr>'2025年'!Print_Area</vt:lpstr>
      <vt:lpstr>'2026年'!Print_Area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 nexus</dc:creator>
  <cp:lastModifiedBy>美恵 名古屋</cp:lastModifiedBy>
  <cp:lastPrinted>2026-04-05T14:11:36Z</cp:lastPrinted>
  <dcterms:created xsi:type="dcterms:W3CDTF">2025-10-20T03:37:09Z</dcterms:created>
  <dcterms:modified xsi:type="dcterms:W3CDTF">2026-04-24T04:54:26Z</dcterms:modified>
</cp:coreProperties>
</file>